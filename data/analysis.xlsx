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hidePivotFieldList="1" defaultThemeVersion="153222"/>
  <mc:AlternateContent xmlns:mc="http://schemas.openxmlformats.org/markup-compatibility/2006">
    <mc:Choice Requires="x15">
      <x15ac:absPath xmlns:x15ac="http://schemas.microsoft.com/office/spreadsheetml/2010/11/ac" url="C:\Users\Nikhil\Desktop\OTT_data_ analysis\data\"/>
    </mc:Choice>
  </mc:AlternateContent>
  <bookViews>
    <workbookView xWindow="0" yWindow="0" windowWidth="20490" windowHeight="7155" activeTab="2"/>
  </bookViews>
  <sheets>
    <sheet name="raw_data" sheetId="1" r:id="rId1"/>
    <sheet name="pivot" sheetId="5" r:id="rId2"/>
    <sheet name="dashboard" sheetId="6" r:id="rId3"/>
    <sheet name="analysis" sheetId="2" r:id="rId4"/>
  </sheets>
  <calcPr calcId="0"/>
  <pivotCaches>
    <pivotCache cacheId="22" r:id="rId5"/>
  </pivotCaches>
</workbook>
</file>

<file path=xl/calcChain.xml><?xml version="1.0" encoding="utf-8"?>
<calcChain xmlns="http://schemas.openxmlformats.org/spreadsheetml/2006/main">
  <c r="H2" i="2" l="1"/>
  <c r="M2" i="2" s="1"/>
  <c r="H3" i="2"/>
  <c r="M3" i="2" s="1"/>
  <c r="H4" i="2"/>
  <c r="M4" i="2" s="1"/>
  <c r="H5" i="2"/>
  <c r="M5" i="2" s="1"/>
  <c r="H6" i="2"/>
  <c r="M6" i="2" s="1"/>
  <c r="H7" i="2"/>
  <c r="M7" i="2" s="1"/>
  <c r="H8" i="2"/>
  <c r="M8" i="2" s="1"/>
  <c r="H9" i="2"/>
  <c r="M9" i="2" s="1"/>
  <c r="H10" i="2"/>
  <c r="M10" i="2" s="1"/>
  <c r="H11" i="2"/>
  <c r="M11" i="2" s="1"/>
  <c r="H12" i="2"/>
  <c r="M12" i="2" s="1"/>
  <c r="H13" i="2"/>
  <c r="M13" i="2" s="1"/>
  <c r="H14" i="2"/>
  <c r="M14" i="2" s="1"/>
  <c r="H15" i="2"/>
  <c r="M15" i="2" s="1"/>
  <c r="H16" i="2"/>
  <c r="M16" i="2" s="1"/>
  <c r="H17" i="2"/>
  <c r="M17" i="2" s="1"/>
  <c r="H18" i="2"/>
  <c r="M18" i="2" s="1"/>
  <c r="H19" i="2"/>
  <c r="M19" i="2" s="1"/>
  <c r="H20" i="2"/>
  <c r="M20" i="2" s="1"/>
  <c r="H21" i="2"/>
  <c r="M21" i="2" s="1"/>
  <c r="F3" i="2"/>
  <c r="F4" i="2"/>
  <c r="F5" i="2"/>
  <c r="F6" i="2"/>
  <c r="F7" i="2"/>
  <c r="F8" i="2"/>
  <c r="F9" i="2"/>
  <c r="F10" i="2"/>
  <c r="F11" i="2"/>
  <c r="F12" i="2"/>
  <c r="F13" i="2"/>
  <c r="F14" i="2"/>
  <c r="F15" i="2"/>
  <c r="F16" i="2"/>
  <c r="F17" i="2"/>
  <c r="F18" i="2"/>
  <c r="F19" i="2"/>
  <c r="F20" i="2"/>
  <c r="F21" i="2"/>
  <c r="F22" i="2"/>
  <c r="F23" i="2"/>
  <c r="F24" i="2"/>
  <c r="F25" i="2"/>
  <c r="F26" i="2"/>
  <c r="F27" i="2"/>
  <c r="F28" i="2"/>
  <c r="F29" i="2"/>
  <c r="F30" i="2"/>
  <c r="F31" i="2"/>
  <c r="F32" i="2"/>
  <c r="F33" i="2"/>
  <c r="F34" i="2"/>
  <c r="F35" i="2"/>
  <c r="F36" i="2"/>
  <c r="F37" i="2"/>
  <c r="F38" i="2"/>
  <c r="F39" i="2"/>
  <c r="F40" i="2"/>
  <c r="F41" i="2"/>
  <c r="F42" i="2"/>
  <c r="F43" i="2"/>
  <c r="F44" i="2"/>
  <c r="F45" i="2"/>
  <c r="F46" i="2"/>
  <c r="F47" i="2"/>
  <c r="F48" i="2"/>
  <c r="F49" i="2"/>
  <c r="F50" i="2"/>
  <c r="F51" i="2"/>
  <c r="F52" i="2"/>
  <c r="F53" i="2"/>
  <c r="F54" i="2"/>
  <c r="F55" i="2"/>
  <c r="F56" i="2"/>
  <c r="F57" i="2"/>
  <c r="F58" i="2"/>
  <c r="F59" i="2"/>
  <c r="F60" i="2"/>
  <c r="F61" i="2"/>
  <c r="F62" i="2"/>
  <c r="F63" i="2"/>
  <c r="F64" i="2"/>
  <c r="F65" i="2"/>
  <c r="F66" i="2"/>
  <c r="F67" i="2"/>
  <c r="F68" i="2"/>
  <c r="F69" i="2"/>
  <c r="F70" i="2"/>
  <c r="F71" i="2"/>
  <c r="F72" i="2"/>
  <c r="F73" i="2"/>
  <c r="F74" i="2"/>
  <c r="F75" i="2"/>
  <c r="F76" i="2"/>
  <c r="F77" i="2"/>
  <c r="F78" i="2"/>
  <c r="F79" i="2"/>
  <c r="F80" i="2"/>
  <c r="F81" i="2"/>
  <c r="F82" i="2"/>
  <c r="F83" i="2"/>
  <c r="F84" i="2"/>
  <c r="F85" i="2"/>
  <c r="F86" i="2"/>
  <c r="F87" i="2"/>
  <c r="F88" i="2"/>
  <c r="F89" i="2"/>
  <c r="F90" i="2"/>
  <c r="F91" i="2"/>
  <c r="F92" i="2"/>
  <c r="F93" i="2"/>
  <c r="F94" i="2"/>
  <c r="F95" i="2"/>
  <c r="F96" i="2"/>
  <c r="F97" i="2"/>
  <c r="F98" i="2"/>
  <c r="F99" i="2"/>
  <c r="F100" i="2"/>
  <c r="F101" i="2"/>
  <c r="F102" i="2"/>
  <c r="F103" i="2"/>
  <c r="F104" i="2"/>
  <c r="F105" i="2"/>
  <c r="F106" i="2"/>
  <c r="F107" i="2"/>
  <c r="F108" i="2"/>
  <c r="F109" i="2"/>
  <c r="F110" i="2"/>
  <c r="F111" i="2"/>
  <c r="F112" i="2"/>
  <c r="F113" i="2"/>
  <c r="F114" i="2"/>
  <c r="F115" i="2"/>
  <c r="F116" i="2"/>
  <c r="F117" i="2"/>
  <c r="F118" i="2"/>
  <c r="F119" i="2"/>
  <c r="F120" i="2"/>
  <c r="F121" i="2"/>
  <c r="F122" i="2"/>
  <c r="F123" i="2"/>
  <c r="F124" i="2"/>
  <c r="F125" i="2"/>
  <c r="F126" i="2"/>
  <c r="F127" i="2"/>
  <c r="F128" i="2"/>
  <c r="F129" i="2"/>
  <c r="F130" i="2"/>
  <c r="F131" i="2"/>
  <c r="F132" i="2"/>
  <c r="F133" i="2"/>
  <c r="F134" i="2"/>
  <c r="F135" i="2"/>
  <c r="F136" i="2"/>
  <c r="F137" i="2"/>
  <c r="F138" i="2"/>
  <c r="F139" i="2"/>
  <c r="F140" i="2"/>
  <c r="F141" i="2"/>
  <c r="F142" i="2"/>
  <c r="F143" i="2"/>
  <c r="F144" i="2"/>
  <c r="F145" i="2"/>
  <c r="F146" i="2"/>
  <c r="F147" i="2"/>
  <c r="F148" i="2"/>
  <c r="F149" i="2"/>
  <c r="F150" i="2"/>
  <c r="F151" i="2"/>
  <c r="F152" i="2"/>
  <c r="F153" i="2"/>
  <c r="F154" i="2"/>
  <c r="F155" i="2"/>
  <c r="F156" i="2"/>
  <c r="F157" i="2"/>
  <c r="F158" i="2"/>
  <c r="F159" i="2"/>
  <c r="F160" i="2"/>
  <c r="F161" i="2"/>
  <c r="F162" i="2"/>
  <c r="F163" i="2"/>
  <c r="F164" i="2"/>
  <c r="F165" i="2"/>
  <c r="F166" i="2"/>
  <c r="F167" i="2"/>
  <c r="F168" i="2"/>
  <c r="F169" i="2"/>
  <c r="F170" i="2"/>
  <c r="F171" i="2"/>
  <c r="F172" i="2"/>
  <c r="F173" i="2"/>
  <c r="F174" i="2"/>
  <c r="F175" i="2"/>
  <c r="F176" i="2"/>
  <c r="F177" i="2"/>
  <c r="F178" i="2"/>
  <c r="F179" i="2"/>
  <c r="F180" i="2"/>
  <c r="F181" i="2"/>
  <c r="F182" i="2"/>
  <c r="F183" i="2"/>
  <c r="F184" i="2"/>
  <c r="F185" i="2"/>
  <c r="F186" i="2"/>
  <c r="F187" i="2"/>
  <c r="F188" i="2"/>
  <c r="F189" i="2"/>
  <c r="F190" i="2"/>
  <c r="F191" i="2"/>
  <c r="F192" i="2"/>
  <c r="F193" i="2"/>
  <c r="F194" i="2"/>
  <c r="F195" i="2"/>
  <c r="F196" i="2"/>
  <c r="F197" i="2"/>
  <c r="F198" i="2"/>
  <c r="F199" i="2"/>
  <c r="F200" i="2"/>
  <c r="F201" i="2"/>
  <c r="F202" i="2"/>
  <c r="F203" i="2"/>
  <c r="F204" i="2"/>
  <c r="F205" i="2"/>
  <c r="F206" i="2"/>
  <c r="F207" i="2"/>
  <c r="F208" i="2"/>
  <c r="F209" i="2"/>
  <c r="F210" i="2"/>
  <c r="F211" i="2"/>
  <c r="F212" i="2"/>
  <c r="F213" i="2"/>
  <c r="F214" i="2"/>
  <c r="F215" i="2"/>
  <c r="F216" i="2"/>
  <c r="F217" i="2"/>
  <c r="F218" i="2"/>
  <c r="F219" i="2"/>
  <c r="F220" i="2"/>
  <c r="F221" i="2"/>
  <c r="F222" i="2"/>
  <c r="F223" i="2"/>
  <c r="F224" i="2"/>
  <c r="F225" i="2"/>
  <c r="F226" i="2"/>
  <c r="F227" i="2"/>
  <c r="F228" i="2"/>
  <c r="F229" i="2"/>
  <c r="F230" i="2"/>
  <c r="F231" i="2"/>
  <c r="F232" i="2"/>
  <c r="F233" i="2"/>
  <c r="F234" i="2"/>
  <c r="F235" i="2"/>
  <c r="F236" i="2"/>
  <c r="F237" i="2"/>
  <c r="F238" i="2"/>
  <c r="F239" i="2"/>
  <c r="F240" i="2"/>
  <c r="F241" i="2"/>
  <c r="F242" i="2"/>
  <c r="F243" i="2"/>
  <c r="F244" i="2"/>
  <c r="F245" i="2"/>
  <c r="F246" i="2"/>
  <c r="F247" i="2"/>
  <c r="F248" i="2"/>
  <c r="F249" i="2"/>
  <c r="F250" i="2"/>
  <c r="F251" i="2"/>
  <c r="F252" i="2"/>
  <c r="F253" i="2"/>
  <c r="F254" i="2"/>
  <c r="F255" i="2"/>
  <c r="F256" i="2"/>
  <c r="F257" i="2"/>
  <c r="F258" i="2"/>
  <c r="F259" i="2"/>
  <c r="F260" i="2"/>
  <c r="F261" i="2"/>
  <c r="F262" i="2"/>
  <c r="F263" i="2"/>
  <c r="F264" i="2"/>
  <c r="F265" i="2"/>
  <c r="F266" i="2"/>
  <c r="F267" i="2"/>
  <c r="F268" i="2"/>
  <c r="F269" i="2"/>
  <c r="F270" i="2"/>
  <c r="F271" i="2"/>
  <c r="F272" i="2"/>
  <c r="F273" i="2"/>
  <c r="F274" i="2"/>
  <c r="F275" i="2"/>
  <c r="F276" i="2"/>
  <c r="F277" i="2"/>
  <c r="F278" i="2"/>
  <c r="F279" i="2"/>
  <c r="F280" i="2"/>
  <c r="F281" i="2"/>
  <c r="F282" i="2"/>
  <c r="F283" i="2"/>
  <c r="F284" i="2"/>
  <c r="F285" i="2"/>
  <c r="F286" i="2"/>
  <c r="F287" i="2"/>
  <c r="F288" i="2"/>
  <c r="F289" i="2"/>
  <c r="F290" i="2"/>
  <c r="F291" i="2"/>
  <c r="F292" i="2"/>
  <c r="F293" i="2"/>
  <c r="F294" i="2"/>
  <c r="F295" i="2"/>
  <c r="F296" i="2"/>
  <c r="F297" i="2"/>
  <c r="F298" i="2"/>
  <c r="F299" i="2"/>
  <c r="F300" i="2"/>
  <c r="F2" i="2"/>
  <c r="I3" i="2"/>
  <c r="J3" i="2" s="1"/>
  <c r="I4" i="2"/>
  <c r="J4" i="2" s="1"/>
  <c r="I5" i="2"/>
  <c r="J5" i="2" s="1"/>
  <c r="I6" i="2"/>
  <c r="J6" i="2" s="1"/>
  <c r="I7" i="2"/>
  <c r="J7" i="2" s="1"/>
  <c r="I8" i="2"/>
  <c r="J8" i="2" s="1"/>
  <c r="I9" i="2"/>
  <c r="J9" i="2" s="1"/>
  <c r="I10" i="2"/>
  <c r="J10" i="2" s="1"/>
  <c r="I11" i="2"/>
  <c r="J11" i="2" s="1"/>
  <c r="I12" i="2"/>
  <c r="J12" i="2" s="1"/>
  <c r="I13" i="2"/>
  <c r="J13" i="2" s="1"/>
  <c r="I14" i="2"/>
  <c r="J14" i="2" s="1"/>
  <c r="I15" i="2"/>
  <c r="J15" i="2" s="1"/>
  <c r="I16" i="2"/>
  <c r="J16" i="2" s="1"/>
  <c r="I17" i="2"/>
  <c r="J17" i="2" s="1"/>
  <c r="I18" i="2"/>
  <c r="J18" i="2" s="1"/>
  <c r="I19" i="2"/>
  <c r="J19" i="2" s="1"/>
  <c r="I20" i="2"/>
  <c r="J20" i="2" s="1"/>
  <c r="I21" i="2"/>
  <c r="J21" i="2" s="1"/>
  <c r="I22" i="2"/>
  <c r="J22" i="2" s="1"/>
  <c r="I23" i="2"/>
  <c r="J23" i="2" s="1"/>
  <c r="I24" i="2"/>
  <c r="J24" i="2" s="1"/>
  <c r="I25" i="2"/>
  <c r="J25" i="2" s="1"/>
  <c r="I26" i="2"/>
  <c r="J26" i="2" s="1"/>
  <c r="I27" i="2"/>
  <c r="J27" i="2" s="1"/>
  <c r="I28" i="2"/>
  <c r="J28" i="2" s="1"/>
  <c r="I29" i="2"/>
  <c r="J29" i="2" s="1"/>
  <c r="I30" i="2"/>
  <c r="J30" i="2" s="1"/>
  <c r="I31" i="2"/>
  <c r="J31" i="2" s="1"/>
  <c r="I32" i="2"/>
  <c r="J32" i="2" s="1"/>
  <c r="I33" i="2"/>
  <c r="J33" i="2" s="1"/>
  <c r="I34" i="2"/>
  <c r="J34" i="2" s="1"/>
  <c r="I35" i="2"/>
  <c r="J35" i="2" s="1"/>
  <c r="I36" i="2"/>
  <c r="J36" i="2" s="1"/>
  <c r="I37" i="2"/>
  <c r="J37" i="2" s="1"/>
  <c r="I38" i="2"/>
  <c r="J38" i="2" s="1"/>
  <c r="I39" i="2"/>
  <c r="J39" i="2" s="1"/>
  <c r="I40" i="2"/>
  <c r="J40" i="2" s="1"/>
  <c r="I41" i="2"/>
  <c r="J41" i="2" s="1"/>
  <c r="I42" i="2"/>
  <c r="J42" i="2" s="1"/>
  <c r="I43" i="2"/>
  <c r="J43" i="2" s="1"/>
  <c r="I44" i="2"/>
  <c r="J44" i="2" s="1"/>
  <c r="I45" i="2"/>
  <c r="J45" i="2" s="1"/>
  <c r="I46" i="2"/>
  <c r="J46" i="2" s="1"/>
  <c r="I47" i="2"/>
  <c r="J47" i="2" s="1"/>
  <c r="I48" i="2"/>
  <c r="J48" i="2" s="1"/>
  <c r="I49" i="2"/>
  <c r="J49" i="2" s="1"/>
  <c r="I50" i="2"/>
  <c r="J50" i="2" s="1"/>
  <c r="I51" i="2"/>
  <c r="J51" i="2" s="1"/>
  <c r="I52" i="2"/>
  <c r="J52" i="2" s="1"/>
  <c r="I53" i="2"/>
  <c r="J53" i="2" s="1"/>
  <c r="I54" i="2"/>
  <c r="J54" i="2" s="1"/>
  <c r="I55" i="2"/>
  <c r="J55" i="2" s="1"/>
  <c r="I56" i="2"/>
  <c r="J56" i="2" s="1"/>
  <c r="I57" i="2"/>
  <c r="J57" i="2" s="1"/>
  <c r="I58" i="2"/>
  <c r="J58" i="2" s="1"/>
  <c r="I59" i="2"/>
  <c r="J59" i="2" s="1"/>
  <c r="I60" i="2"/>
  <c r="J60" i="2" s="1"/>
  <c r="I61" i="2"/>
  <c r="J61" i="2" s="1"/>
  <c r="I62" i="2"/>
  <c r="J62" i="2" s="1"/>
  <c r="I63" i="2"/>
  <c r="J63" i="2" s="1"/>
  <c r="I64" i="2"/>
  <c r="J64" i="2" s="1"/>
  <c r="I65" i="2"/>
  <c r="J65" i="2" s="1"/>
  <c r="I66" i="2"/>
  <c r="J66" i="2" s="1"/>
  <c r="I67" i="2"/>
  <c r="J67" i="2" s="1"/>
  <c r="I68" i="2"/>
  <c r="J68" i="2" s="1"/>
  <c r="I69" i="2"/>
  <c r="J69" i="2" s="1"/>
  <c r="I70" i="2"/>
  <c r="J70" i="2" s="1"/>
  <c r="I71" i="2"/>
  <c r="J71" i="2" s="1"/>
  <c r="I72" i="2"/>
  <c r="J72" i="2" s="1"/>
  <c r="I73" i="2"/>
  <c r="J73" i="2" s="1"/>
  <c r="I74" i="2"/>
  <c r="J74" i="2" s="1"/>
  <c r="I75" i="2"/>
  <c r="J75" i="2" s="1"/>
  <c r="I76" i="2"/>
  <c r="J76" i="2" s="1"/>
  <c r="I77" i="2"/>
  <c r="J77" i="2" s="1"/>
  <c r="I78" i="2"/>
  <c r="J78" i="2" s="1"/>
  <c r="I79" i="2"/>
  <c r="J79" i="2" s="1"/>
  <c r="I80" i="2"/>
  <c r="J80" i="2" s="1"/>
  <c r="I81" i="2"/>
  <c r="J81" i="2" s="1"/>
  <c r="I82" i="2"/>
  <c r="J82" i="2" s="1"/>
  <c r="I83" i="2"/>
  <c r="J83" i="2" s="1"/>
  <c r="I84" i="2"/>
  <c r="J84" i="2" s="1"/>
  <c r="I85" i="2"/>
  <c r="J85" i="2" s="1"/>
  <c r="I86" i="2"/>
  <c r="J86" i="2" s="1"/>
  <c r="I87" i="2"/>
  <c r="J87" i="2" s="1"/>
  <c r="I88" i="2"/>
  <c r="J88" i="2" s="1"/>
  <c r="I89" i="2"/>
  <c r="J89" i="2" s="1"/>
  <c r="I90" i="2"/>
  <c r="J90" i="2" s="1"/>
  <c r="I91" i="2"/>
  <c r="J91" i="2" s="1"/>
  <c r="I92" i="2"/>
  <c r="J92" i="2" s="1"/>
  <c r="I93" i="2"/>
  <c r="J93" i="2" s="1"/>
  <c r="I94" i="2"/>
  <c r="J94" i="2" s="1"/>
  <c r="I95" i="2"/>
  <c r="J95" i="2" s="1"/>
  <c r="I96" i="2"/>
  <c r="J96" i="2" s="1"/>
  <c r="I97" i="2"/>
  <c r="J97" i="2" s="1"/>
  <c r="I98" i="2"/>
  <c r="J98" i="2" s="1"/>
  <c r="I99" i="2"/>
  <c r="J99" i="2" s="1"/>
  <c r="I100" i="2"/>
  <c r="J100" i="2" s="1"/>
  <c r="I101" i="2"/>
  <c r="J101" i="2" s="1"/>
  <c r="I102" i="2"/>
  <c r="J102" i="2" s="1"/>
  <c r="I103" i="2"/>
  <c r="J103" i="2" s="1"/>
  <c r="I104" i="2"/>
  <c r="J104" i="2" s="1"/>
  <c r="I105" i="2"/>
  <c r="J105" i="2" s="1"/>
  <c r="I106" i="2"/>
  <c r="J106" i="2" s="1"/>
  <c r="I107" i="2"/>
  <c r="J107" i="2" s="1"/>
  <c r="I108" i="2"/>
  <c r="J108" i="2" s="1"/>
  <c r="I109" i="2"/>
  <c r="J109" i="2" s="1"/>
  <c r="I110" i="2"/>
  <c r="J110" i="2" s="1"/>
  <c r="I111" i="2"/>
  <c r="J111" i="2" s="1"/>
  <c r="I112" i="2"/>
  <c r="J112" i="2" s="1"/>
  <c r="I113" i="2"/>
  <c r="J113" i="2" s="1"/>
  <c r="I114" i="2"/>
  <c r="J114" i="2" s="1"/>
  <c r="I115" i="2"/>
  <c r="J115" i="2" s="1"/>
  <c r="I116" i="2"/>
  <c r="J116" i="2" s="1"/>
  <c r="I117" i="2"/>
  <c r="J117" i="2" s="1"/>
  <c r="I118" i="2"/>
  <c r="J118" i="2" s="1"/>
  <c r="I119" i="2"/>
  <c r="J119" i="2" s="1"/>
  <c r="I120" i="2"/>
  <c r="J120" i="2" s="1"/>
  <c r="I121" i="2"/>
  <c r="J121" i="2" s="1"/>
  <c r="I122" i="2"/>
  <c r="J122" i="2" s="1"/>
  <c r="I123" i="2"/>
  <c r="J123" i="2" s="1"/>
  <c r="I124" i="2"/>
  <c r="J124" i="2" s="1"/>
  <c r="I125" i="2"/>
  <c r="J125" i="2" s="1"/>
  <c r="I126" i="2"/>
  <c r="J126" i="2" s="1"/>
  <c r="I127" i="2"/>
  <c r="J127" i="2" s="1"/>
  <c r="I128" i="2"/>
  <c r="J128" i="2" s="1"/>
  <c r="I129" i="2"/>
  <c r="J129" i="2" s="1"/>
  <c r="I130" i="2"/>
  <c r="J130" i="2" s="1"/>
  <c r="I131" i="2"/>
  <c r="J131" i="2" s="1"/>
  <c r="I132" i="2"/>
  <c r="J132" i="2" s="1"/>
  <c r="I133" i="2"/>
  <c r="J133" i="2" s="1"/>
  <c r="I134" i="2"/>
  <c r="J134" i="2" s="1"/>
  <c r="I135" i="2"/>
  <c r="J135" i="2" s="1"/>
  <c r="I136" i="2"/>
  <c r="J136" i="2" s="1"/>
  <c r="I137" i="2"/>
  <c r="J137" i="2" s="1"/>
  <c r="I138" i="2"/>
  <c r="J138" i="2" s="1"/>
  <c r="I139" i="2"/>
  <c r="J139" i="2" s="1"/>
  <c r="I140" i="2"/>
  <c r="J140" i="2" s="1"/>
  <c r="I141" i="2"/>
  <c r="J141" i="2" s="1"/>
  <c r="I142" i="2"/>
  <c r="J142" i="2" s="1"/>
  <c r="I143" i="2"/>
  <c r="J143" i="2" s="1"/>
  <c r="I144" i="2"/>
  <c r="J144" i="2" s="1"/>
  <c r="I145" i="2"/>
  <c r="J145" i="2" s="1"/>
  <c r="I146" i="2"/>
  <c r="J146" i="2" s="1"/>
  <c r="I147" i="2"/>
  <c r="J147" i="2" s="1"/>
  <c r="I148" i="2"/>
  <c r="J148" i="2" s="1"/>
  <c r="I149" i="2"/>
  <c r="J149" i="2" s="1"/>
  <c r="I150" i="2"/>
  <c r="J150" i="2" s="1"/>
  <c r="I151" i="2"/>
  <c r="J151" i="2" s="1"/>
  <c r="I152" i="2"/>
  <c r="J152" i="2" s="1"/>
  <c r="I153" i="2"/>
  <c r="J153" i="2" s="1"/>
  <c r="I154" i="2"/>
  <c r="J154" i="2" s="1"/>
  <c r="I155" i="2"/>
  <c r="J155" i="2" s="1"/>
  <c r="I156" i="2"/>
  <c r="J156" i="2" s="1"/>
  <c r="I157" i="2"/>
  <c r="J157" i="2" s="1"/>
  <c r="I158" i="2"/>
  <c r="J158" i="2" s="1"/>
  <c r="I159" i="2"/>
  <c r="J159" i="2" s="1"/>
  <c r="I160" i="2"/>
  <c r="J160" i="2" s="1"/>
  <c r="I161" i="2"/>
  <c r="J161" i="2" s="1"/>
  <c r="I162" i="2"/>
  <c r="J162" i="2" s="1"/>
  <c r="I163" i="2"/>
  <c r="J163" i="2" s="1"/>
  <c r="I164" i="2"/>
  <c r="J164" i="2" s="1"/>
  <c r="I165" i="2"/>
  <c r="J165" i="2" s="1"/>
  <c r="I166" i="2"/>
  <c r="J166" i="2" s="1"/>
  <c r="I167" i="2"/>
  <c r="J167" i="2" s="1"/>
  <c r="I168" i="2"/>
  <c r="J168" i="2" s="1"/>
  <c r="I169" i="2"/>
  <c r="J169" i="2" s="1"/>
  <c r="I170" i="2"/>
  <c r="J170" i="2" s="1"/>
  <c r="I171" i="2"/>
  <c r="J171" i="2" s="1"/>
  <c r="I172" i="2"/>
  <c r="J172" i="2" s="1"/>
  <c r="I173" i="2"/>
  <c r="J173" i="2" s="1"/>
  <c r="I174" i="2"/>
  <c r="J174" i="2" s="1"/>
  <c r="I175" i="2"/>
  <c r="J175" i="2" s="1"/>
  <c r="I176" i="2"/>
  <c r="J176" i="2" s="1"/>
  <c r="I177" i="2"/>
  <c r="J177" i="2" s="1"/>
  <c r="I178" i="2"/>
  <c r="J178" i="2" s="1"/>
  <c r="I179" i="2"/>
  <c r="J179" i="2" s="1"/>
  <c r="I180" i="2"/>
  <c r="J180" i="2" s="1"/>
  <c r="I181" i="2"/>
  <c r="J181" i="2" s="1"/>
  <c r="I182" i="2"/>
  <c r="J182" i="2" s="1"/>
  <c r="I183" i="2"/>
  <c r="J183" i="2" s="1"/>
  <c r="I184" i="2"/>
  <c r="J184" i="2" s="1"/>
  <c r="I185" i="2"/>
  <c r="J185" i="2" s="1"/>
  <c r="I186" i="2"/>
  <c r="J186" i="2" s="1"/>
  <c r="I187" i="2"/>
  <c r="J187" i="2" s="1"/>
  <c r="I188" i="2"/>
  <c r="J188" i="2" s="1"/>
  <c r="I189" i="2"/>
  <c r="J189" i="2" s="1"/>
  <c r="I190" i="2"/>
  <c r="J190" i="2" s="1"/>
  <c r="I191" i="2"/>
  <c r="J191" i="2" s="1"/>
  <c r="I192" i="2"/>
  <c r="J192" i="2" s="1"/>
  <c r="I193" i="2"/>
  <c r="J193" i="2" s="1"/>
  <c r="I194" i="2"/>
  <c r="J194" i="2" s="1"/>
  <c r="I195" i="2"/>
  <c r="J195" i="2" s="1"/>
  <c r="I196" i="2"/>
  <c r="J196" i="2" s="1"/>
  <c r="I197" i="2"/>
  <c r="J197" i="2" s="1"/>
  <c r="I198" i="2"/>
  <c r="J198" i="2" s="1"/>
  <c r="I199" i="2"/>
  <c r="J199" i="2" s="1"/>
  <c r="I200" i="2"/>
  <c r="J200" i="2" s="1"/>
  <c r="I201" i="2"/>
  <c r="J201" i="2" s="1"/>
  <c r="I202" i="2"/>
  <c r="J202" i="2" s="1"/>
  <c r="I203" i="2"/>
  <c r="J203" i="2" s="1"/>
  <c r="I204" i="2"/>
  <c r="J204" i="2" s="1"/>
  <c r="I205" i="2"/>
  <c r="J205" i="2" s="1"/>
  <c r="I206" i="2"/>
  <c r="J206" i="2" s="1"/>
  <c r="I207" i="2"/>
  <c r="J207" i="2" s="1"/>
  <c r="I208" i="2"/>
  <c r="J208" i="2" s="1"/>
  <c r="I209" i="2"/>
  <c r="J209" i="2" s="1"/>
  <c r="I210" i="2"/>
  <c r="J210" i="2" s="1"/>
  <c r="I211" i="2"/>
  <c r="J211" i="2" s="1"/>
  <c r="I212" i="2"/>
  <c r="J212" i="2" s="1"/>
  <c r="I213" i="2"/>
  <c r="J213" i="2" s="1"/>
  <c r="I214" i="2"/>
  <c r="J214" i="2" s="1"/>
  <c r="I215" i="2"/>
  <c r="J215" i="2" s="1"/>
  <c r="I216" i="2"/>
  <c r="J216" i="2" s="1"/>
  <c r="I217" i="2"/>
  <c r="J217" i="2" s="1"/>
  <c r="I218" i="2"/>
  <c r="J218" i="2" s="1"/>
  <c r="I219" i="2"/>
  <c r="J219" i="2" s="1"/>
  <c r="I220" i="2"/>
  <c r="J220" i="2" s="1"/>
  <c r="I221" i="2"/>
  <c r="J221" i="2" s="1"/>
  <c r="I222" i="2"/>
  <c r="J222" i="2" s="1"/>
  <c r="I223" i="2"/>
  <c r="J223" i="2" s="1"/>
  <c r="I224" i="2"/>
  <c r="J224" i="2" s="1"/>
  <c r="I225" i="2"/>
  <c r="J225" i="2" s="1"/>
  <c r="I226" i="2"/>
  <c r="J226" i="2" s="1"/>
  <c r="I227" i="2"/>
  <c r="J227" i="2" s="1"/>
  <c r="I228" i="2"/>
  <c r="J228" i="2" s="1"/>
  <c r="I229" i="2"/>
  <c r="J229" i="2" s="1"/>
  <c r="I230" i="2"/>
  <c r="J230" i="2" s="1"/>
  <c r="I231" i="2"/>
  <c r="J231" i="2" s="1"/>
  <c r="I232" i="2"/>
  <c r="J232" i="2" s="1"/>
  <c r="I233" i="2"/>
  <c r="J233" i="2" s="1"/>
  <c r="I234" i="2"/>
  <c r="J234" i="2" s="1"/>
  <c r="I235" i="2"/>
  <c r="J235" i="2" s="1"/>
  <c r="I236" i="2"/>
  <c r="J236" i="2" s="1"/>
  <c r="I237" i="2"/>
  <c r="J237" i="2" s="1"/>
  <c r="I238" i="2"/>
  <c r="J238" i="2" s="1"/>
  <c r="I239" i="2"/>
  <c r="J239" i="2" s="1"/>
  <c r="I240" i="2"/>
  <c r="J240" i="2" s="1"/>
  <c r="I241" i="2"/>
  <c r="J241" i="2" s="1"/>
  <c r="I242" i="2"/>
  <c r="J242" i="2" s="1"/>
  <c r="I243" i="2"/>
  <c r="J243" i="2" s="1"/>
  <c r="I244" i="2"/>
  <c r="J244" i="2" s="1"/>
  <c r="I245" i="2"/>
  <c r="J245" i="2" s="1"/>
  <c r="I246" i="2"/>
  <c r="J246" i="2" s="1"/>
  <c r="I247" i="2"/>
  <c r="J247" i="2" s="1"/>
  <c r="I248" i="2"/>
  <c r="J248" i="2" s="1"/>
  <c r="I249" i="2"/>
  <c r="J249" i="2" s="1"/>
  <c r="I250" i="2"/>
  <c r="J250" i="2" s="1"/>
  <c r="I251" i="2"/>
  <c r="J251" i="2" s="1"/>
  <c r="I252" i="2"/>
  <c r="J252" i="2" s="1"/>
  <c r="I253" i="2"/>
  <c r="J253" i="2" s="1"/>
  <c r="I254" i="2"/>
  <c r="J254" i="2" s="1"/>
  <c r="I255" i="2"/>
  <c r="J255" i="2" s="1"/>
  <c r="I256" i="2"/>
  <c r="J256" i="2" s="1"/>
  <c r="I257" i="2"/>
  <c r="J257" i="2" s="1"/>
  <c r="I258" i="2"/>
  <c r="J258" i="2" s="1"/>
  <c r="I259" i="2"/>
  <c r="J259" i="2" s="1"/>
  <c r="I260" i="2"/>
  <c r="J260" i="2" s="1"/>
  <c r="I261" i="2"/>
  <c r="J261" i="2" s="1"/>
  <c r="I262" i="2"/>
  <c r="J262" i="2" s="1"/>
  <c r="I263" i="2"/>
  <c r="J263" i="2" s="1"/>
  <c r="I264" i="2"/>
  <c r="J264" i="2" s="1"/>
  <c r="I265" i="2"/>
  <c r="J265" i="2" s="1"/>
  <c r="I266" i="2"/>
  <c r="J266" i="2" s="1"/>
  <c r="I267" i="2"/>
  <c r="J267" i="2" s="1"/>
  <c r="I268" i="2"/>
  <c r="J268" i="2" s="1"/>
  <c r="I269" i="2"/>
  <c r="J269" i="2" s="1"/>
  <c r="I270" i="2"/>
  <c r="J270" i="2" s="1"/>
  <c r="I271" i="2"/>
  <c r="J271" i="2" s="1"/>
  <c r="I272" i="2"/>
  <c r="J272" i="2" s="1"/>
  <c r="I273" i="2"/>
  <c r="J273" i="2" s="1"/>
  <c r="I274" i="2"/>
  <c r="J274" i="2" s="1"/>
  <c r="I275" i="2"/>
  <c r="J275" i="2" s="1"/>
  <c r="I276" i="2"/>
  <c r="J276" i="2" s="1"/>
  <c r="I277" i="2"/>
  <c r="J277" i="2" s="1"/>
  <c r="I278" i="2"/>
  <c r="J278" i="2" s="1"/>
  <c r="I279" i="2"/>
  <c r="J279" i="2" s="1"/>
  <c r="I280" i="2"/>
  <c r="J280" i="2" s="1"/>
  <c r="I281" i="2"/>
  <c r="J281" i="2" s="1"/>
  <c r="I282" i="2"/>
  <c r="J282" i="2" s="1"/>
  <c r="I283" i="2"/>
  <c r="J283" i="2" s="1"/>
  <c r="I284" i="2"/>
  <c r="J284" i="2" s="1"/>
  <c r="I285" i="2"/>
  <c r="J285" i="2" s="1"/>
  <c r="I286" i="2"/>
  <c r="J286" i="2" s="1"/>
  <c r="I287" i="2"/>
  <c r="J287" i="2" s="1"/>
  <c r="I288" i="2"/>
  <c r="J288" i="2" s="1"/>
  <c r="I289" i="2"/>
  <c r="J289" i="2" s="1"/>
  <c r="I290" i="2"/>
  <c r="J290" i="2" s="1"/>
  <c r="I291" i="2"/>
  <c r="J291" i="2" s="1"/>
  <c r="I292" i="2"/>
  <c r="J292" i="2" s="1"/>
  <c r="I293" i="2"/>
  <c r="J293" i="2" s="1"/>
  <c r="I294" i="2"/>
  <c r="J294" i="2" s="1"/>
  <c r="I295" i="2"/>
  <c r="J295" i="2" s="1"/>
  <c r="I296" i="2"/>
  <c r="J296" i="2" s="1"/>
  <c r="I297" i="2"/>
  <c r="J297" i="2" s="1"/>
  <c r="I298" i="2"/>
  <c r="J298" i="2" s="1"/>
  <c r="I299" i="2"/>
  <c r="J299" i="2" s="1"/>
  <c r="I300" i="2"/>
  <c r="J300" i="2" s="1"/>
  <c r="I2" i="2"/>
  <c r="J2" i="2" s="1"/>
  <c r="H22" i="2"/>
  <c r="M22" i="2" s="1"/>
  <c r="H23" i="2"/>
  <c r="M23" i="2" s="1"/>
  <c r="H24" i="2"/>
  <c r="M24" i="2" s="1"/>
  <c r="H25" i="2"/>
  <c r="M25" i="2" s="1"/>
  <c r="H26" i="2"/>
  <c r="M26" i="2" s="1"/>
  <c r="H27" i="2"/>
  <c r="M27" i="2" s="1"/>
  <c r="H28" i="2"/>
  <c r="M28" i="2" s="1"/>
  <c r="H29" i="2"/>
  <c r="M29" i="2" s="1"/>
  <c r="H30" i="2"/>
  <c r="M30" i="2" s="1"/>
  <c r="H31" i="2"/>
  <c r="M31" i="2" s="1"/>
  <c r="H32" i="2"/>
  <c r="M32" i="2" s="1"/>
  <c r="H33" i="2"/>
  <c r="M33" i="2" s="1"/>
  <c r="H34" i="2"/>
  <c r="M34" i="2" s="1"/>
  <c r="H35" i="2"/>
  <c r="M35" i="2" s="1"/>
  <c r="H36" i="2"/>
  <c r="M36" i="2" s="1"/>
  <c r="H37" i="2"/>
  <c r="M37" i="2" s="1"/>
  <c r="H38" i="2"/>
  <c r="M38" i="2" s="1"/>
  <c r="H39" i="2"/>
  <c r="M39" i="2" s="1"/>
  <c r="H40" i="2"/>
  <c r="M40" i="2" s="1"/>
  <c r="H41" i="2"/>
  <c r="M41" i="2" s="1"/>
  <c r="H42" i="2"/>
  <c r="M42" i="2" s="1"/>
  <c r="H43" i="2"/>
  <c r="M43" i="2" s="1"/>
  <c r="H44" i="2"/>
  <c r="M44" i="2" s="1"/>
  <c r="H45" i="2"/>
  <c r="M45" i="2" s="1"/>
  <c r="H46" i="2"/>
  <c r="M46" i="2" s="1"/>
  <c r="H47" i="2"/>
  <c r="M47" i="2" s="1"/>
  <c r="H48" i="2"/>
  <c r="M48" i="2" s="1"/>
  <c r="H49" i="2"/>
  <c r="M49" i="2" s="1"/>
  <c r="H50" i="2"/>
  <c r="M50" i="2" s="1"/>
  <c r="H51" i="2"/>
  <c r="M51" i="2" s="1"/>
  <c r="H52" i="2"/>
  <c r="M52" i="2" s="1"/>
  <c r="H53" i="2"/>
  <c r="M53" i="2" s="1"/>
  <c r="H54" i="2"/>
  <c r="M54" i="2" s="1"/>
  <c r="H55" i="2"/>
  <c r="M55" i="2" s="1"/>
  <c r="H56" i="2"/>
  <c r="M56" i="2" s="1"/>
  <c r="H57" i="2"/>
  <c r="M57" i="2" s="1"/>
  <c r="H58" i="2"/>
  <c r="M58" i="2" s="1"/>
  <c r="H59" i="2"/>
  <c r="M59" i="2" s="1"/>
  <c r="H60" i="2"/>
  <c r="M60" i="2" s="1"/>
  <c r="H61" i="2"/>
  <c r="M61" i="2" s="1"/>
  <c r="H62" i="2"/>
  <c r="M62" i="2" s="1"/>
  <c r="H63" i="2"/>
  <c r="M63" i="2" s="1"/>
  <c r="H64" i="2"/>
  <c r="M64" i="2" s="1"/>
  <c r="H65" i="2"/>
  <c r="M65" i="2" s="1"/>
  <c r="H66" i="2"/>
  <c r="M66" i="2" s="1"/>
  <c r="H67" i="2"/>
  <c r="M67" i="2" s="1"/>
  <c r="H68" i="2"/>
  <c r="M68" i="2" s="1"/>
  <c r="H69" i="2"/>
  <c r="M69" i="2" s="1"/>
  <c r="H70" i="2"/>
  <c r="M70" i="2" s="1"/>
  <c r="H71" i="2"/>
  <c r="M71" i="2" s="1"/>
  <c r="H72" i="2"/>
  <c r="M72" i="2" s="1"/>
  <c r="H73" i="2"/>
  <c r="M73" i="2" s="1"/>
  <c r="H74" i="2"/>
  <c r="M74" i="2" s="1"/>
  <c r="H75" i="2"/>
  <c r="M75" i="2" s="1"/>
  <c r="H76" i="2"/>
  <c r="M76" i="2" s="1"/>
  <c r="H77" i="2"/>
  <c r="M77" i="2" s="1"/>
  <c r="H78" i="2"/>
  <c r="M78" i="2" s="1"/>
  <c r="H79" i="2"/>
  <c r="M79" i="2" s="1"/>
  <c r="H80" i="2"/>
  <c r="M80" i="2" s="1"/>
  <c r="H81" i="2"/>
  <c r="M81" i="2" s="1"/>
  <c r="H82" i="2"/>
  <c r="M82" i="2" s="1"/>
  <c r="H83" i="2"/>
  <c r="M83" i="2" s="1"/>
  <c r="H84" i="2"/>
  <c r="M84" i="2" s="1"/>
  <c r="H85" i="2"/>
  <c r="M85" i="2" s="1"/>
  <c r="H86" i="2"/>
  <c r="M86" i="2" s="1"/>
  <c r="H87" i="2"/>
  <c r="M87" i="2" s="1"/>
  <c r="H88" i="2"/>
  <c r="M88" i="2" s="1"/>
  <c r="H89" i="2"/>
  <c r="M89" i="2" s="1"/>
  <c r="H90" i="2"/>
  <c r="M90" i="2" s="1"/>
  <c r="H91" i="2"/>
  <c r="M91" i="2" s="1"/>
  <c r="H92" i="2"/>
  <c r="M92" i="2" s="1"/>
  <c r="H93" i="2"/>
  <c r="M93" i="2" s="1"/>
  <c r="H94" i="2"/>
  <c r="M94" i="2" s="1"/>
  <c r="H95" i="2"/>
  <c r="M95" i="2" s="1"/>
  <c r="H96" i="2"/>
  <c r="M96" i="2" s="1"/>
  <c r="H97" i="2"/>
  <c r="M97" i="2" s="1"/>
  <c r="H98" i="2"/>
  <c r="M98" i="2" s="1"/>
  <c r="H99" i="2"/>
  <c r="M99" i="2" s="1"/>
  <c r="H100" i="2"/>
  <c r="M100" i="2" s="1"/>
  <c r="H101" i="2"/>
  <c r="M101" i="2" s="1"/>
  <c r="H102" i="2"/>
  <c r="M102" i="2" s="1"/>
  <c r="H103" i="2"/>
  <c r="M103" i="2" s="1"/>
  <c r="H104" i="2"/>
  <c r="M104" i="2" s="1"/>
  <c r="H105" i="2"/>
  <c r="M105" i="2" s="1"/>
  <c r="H106" i="2"/>
  <c r="M106" i="2" s="1"/>
  <c r="H107" i="2"/>
  <c r="M107" i="2" s="1"/>
  <c r="H108" i="2"/>
  <c r="M108" i="2" s="1"/>
  <c r="H109" i="2"/>
  <c r="M109" i="2" s="1"/>
  <c r="H110" i="2"/>
  <c r="M110" i="2" s="1"/>
  <c r="H111" i="2"/>
  <c r="M111" i="2" s="1"/>
  <c r="H112" i="2"/>
  <c r="M112" i="2" s="1"/>
  <c r="H113" i="2"/>
  <c r="M113" i="2" s="1"/>
  <c r="H114" i="2"/>
  <c r="M114" i="2" s="1"/>
  <c r="H115" i="2"/>
  <c r="M115" i="2" s="1"/>
  <c r="H116" i="2"/>
  <c r="M116" i="2" s="1"/>
  <c r="H117" i="2"/>
  <c r="M117" i="2" s="1"/>
  <c r="H118" i="2"/>
  <c r="M118" i="2" s="1"/>
  <c r="H119" i="2"/>
  <c r="M119" i="2" s="1"/>
  <c r="H120" i="2"/>
  <c r="M120" i="2" s="1"/>
  <c r="H121" i="2"/>
  <c r="M121" i="2" s="1"/>
  <c r="H122" i="2"/>
  <c r="M122" i="2" s="1"/>
  <c r="H123" i="2"/>
  <c r="M123" i="2" s="1"/>
  <c r="H124" i="2"/>
  <c r="M124" i="2" s="1"/>
  <c r="H125" i="2"/>
  <c r="M125" i="2" s="1"/>
  <c r="H126" i="2"/>
  <c r="M126" i="2" s="1"/>
  <c r="H127" i="2"/>
  <c r="M127" i="2" s="1"/>
  <c r="H128" i="2"/>
  <c r="M128" i="2" s="1"/>
  <c r="H129" i="2"/>
  <c r="M129" i="2" s="1"/>
  <c r="H130" i="2"/>
  <c r="M130" i="2" s="1"/>
  <c r="H131" i="2"/>
  <c r="M131" i="2" s="1"/>
  <c r="H132" i="2"/>
  <c r="M132" i="2" s="1"/>
  <c r="H133" i="2"/>
  <c r="M133" i="2" s="1"/>
  <c r="H134" i="2"/>
  <c r="M134" i="2" s="1"/>
  <c r="H135" i="2"/>
  <c r="M135" i="2" s="1"/>
  <c r="H136" i="2"/>
  <c r="M136" i="2" s="1"/>
  <c r="H137" i="2"/>
  <c r="M137" i="2" s="1"/>
  <c r="H138" i="2"/>
  <c r="M138" i="2" s="1"/>
  <c r="H139" i="2"/>
  <c r="M139" i="2" s="1"/>
  <c r="H140" i="2"/>
  <c r="M140" i="2" s="1"/>
  <c r="H141" i="2"/>
  <c r="M141" i="2" s="1"/>
  <c r="H142" i="2"/>
  <c r="M142" i="2" s="1"/>
  <c r="H143" i="2"/>
  <c r="M143" i="2" s="1"/>
  <c r="H144" i="2"/>
  <c r="M144" i="2" s="1"/>
  <c r="H145" i="2"/>
  <c r="M145" i="2" s="1"/>
  <c r="H146" i="2"/>
  <c r="M146" i="2" s="1"/>
  <c r="H147" i="2"/>
  <c r="M147" i="2" s="1"/>
  <c r="H148" i="2"/>
  <c r="M148" i="2" s="1"/>
  <c r="H149" i="2"/>
  <c r="M149" i="2" s="1"/>
  <c r="H150" i="2"/>
  <c r="M150" i="2" s="1"/>
  <c r="H151" i="2"/>
  <c r="M151" i="2" s="1"/>
  <c r="H152" i="2"/>
  <c r="M152" i="2" s="1"/>
  <c r="H153" i="2"/>
  <c r="M153" i="2" s="1"/>
  <c r="H154" i="2"/>
  <c r="M154" i="2" s="1"/>
  <c r="H155" i="2"/>
  <c r="M155" i="2" s="1"/>
  <c r="H156" i="2"/>
  <c r="M156" i="2" s="1"/>
  <c r="H157" i="2"/>
  <c r="M157" i="2" s="1"/>
  <c r="H158" i="2"/>
  <c r="M158" i="2" s="1"/>
  <c r="H159" i="2"/>
  <c r="M159" i="2" s="1"/>
  <c r="H160" i="2"/>
  <c r="M160" i="2" s="1"/>
  <c r="H161" i="2"/>
  <c r="M161" i="2" s="1"/>
  <c r="H162" i="2"/>
  <c r="M162" i="2" s="1"/>
  <c r="H163" i="2"/>
  <c r="M163" i="2" s="1"/>
  <c r="H164" i="2"/>
  <c r="M164" i="2" s="1"/>
  <c r="H165" i="2"/>
  <c r="M165" i="2" s="1"/>
  <c r="H166" i="2"/>
  <c r="M166" i="2" s="1"/>
  <c r="H167" i="2"/>
  <c r="M167" i="2" s="1"/>
  <c r="H168" i="2"/>
  <c r="M168" i="2" s="1"/>
  <c r="H169" i="2"/>
  <c r="M169" i="2" s="1"/>
  <c r="H170" i="2"/>
  <c r="M170" i="2" s="1"/>
  <c r="H171" i="2"/>
  <c r="M171" i="2" s="1"/>
  <c r="H172" i="2"/>
  <c r="M172" i="2" s="1"/>
  <c r="H173" i="2"/>
  <c r="M173" i="2" s="1"/>
  <c r="H174" i="2"/>
  <c r="M174" i="2" s="1"/>
  <c r="H175" i="2"/>
  <c r="M175" i="2" s="1"/>
  <c r="H176" i="2"/>
  <c r="M176" i="2" s="1"/>
  <c r="H177" i="2"/>
  <c r="M177" i="2" s="1"/>
  <c r="H178" i="2"/>
  <c r="M178" i="2" s="1"/>
  <c r="H179" i="2"/>
  <c r="M179" i="2" s="1"/>
  <c r="H180" i="2"/>
  <c r="M180" i="2" s="1"/>
  <c r="H181" i="2"/>
  <c r="M181" i="2" s="1"/>
  <c r="H182" i="2"/>
  <c r="M182" i="2" s="1"/>
  <c r="H183" i="2"/>
  <c r="M183" i="2" s="1"/>
  <c r="H184" i="2"/>
  <c r="M184" i="2" s="1"/>
  <c r="H185" i="2"/>
  <c r="M185" i="2" s="1"/>
  <c r="H186" i="2"/>
  <c r="M186" i="2" s="1"/>
  <c r="H187" i="2"/>
  <c r="M187" i="2" s="1"/>
  <c r="H188" i="2"/>
  <c r="M188" i="2" s="1"/>
  <c r="H189" i="2"/>
  <c r="M189" i="2" s="1"/>
  <c r="H190" i="2"/>
  <c r="M190" i="2" s="1"/>
  <c r="H191" i="2"/>
  <c r="M191" i="2" s="1"/>
  <c r="H192" i="2"/>
  <c r="M192" i="2" s="1"/>
  <c r="H193" i="2"/>
  <c r="M193" i="2" s="1"/>
  <c r="H194" i="2"/>
  <c r="M194" i="2" s="1"/>
  <c r="H195" i="2"/>
  <c r="M195" i="2" s="1"/>
  <c r="H196" i="2"/>
  <c r="M196" i="2" s="1"/>
  <c r="H197" i="2"/>
  <c r="M197" i="2" s="1"/>
  <c r="H198" i="2"/>
  <c r="M198" i="2" s="1"/>
  <c r="H199" i="2"/>
  <c r="M199" i="2" s="1"/>
  <c r="H200" i="2"/>
  <c r="M200" i="2" s="1"/>
  <c r="H201" i="2"/>
  <c r="M201" i="2" s="1"/>
  <c r="H202" i="2"/>
  <c r="M202" i="2" s="1"/>
  <c r="H203" i="2"/>
  <c r="M203" i="2" s="1"/>
  <c r="H204" i="2"/>
  <c r="M204" i="2" s="1"/>
  <c r="H205" i="2"/>
  <c r="M205" i="2" s="1"/>
  <c r="H206" i="2"/>
  <c r="M206" i="2" s="1"/>
  <c r="H207" i="2"/>
  <c r="M207" i="2" s="1"/>
  <c r="H208" i="2"/>
  <c r="M208" i="2" s="1"/>
  <c r="H209" i="2"/>
  <c r="M209" i="2" s="1"/>
  <c r="H210" i="2"/>
  <c r="M210" i="2" s="1"/>
  <c r="H211" i="2"/>
  <c r="M211" i="2" s="1"/>
  <c r="H212" i="2"/>
  <c r="M212" i="2" s="1"/>
  <c r="H213" i="2"/>
  <c r="M213" i="2" s="1"/>
  <c r="H214" i="2"/>
  <c r="M214" i="2" s="1"/>
  <c r="H215" i="2"/>
  <c r="M215" i="2" s="1"/>
  <c r="H216" i="2"/>
  <c r="M216" i="2" s="1"/>
  <c r="H217" i="2"/>
  <c r="M217" i="2" s="1"/>
  <c r="H218" i="2"/>
  <c r="M218" i="2" s="1"/>
  <c r="H219" i="2"/>
  <c r="M219" i="2" s="1"/>
  <c r="H220" i="2"/>
  <c r="M220" i="2" s="1"/>
  <c r="H221" i="2"/>
  <c r="M221" i="2" s="1"/>
  <c r="H222" i="2"/>
  <c r="M222" i="2" s="1"/>
  <c r="H223" i="2"/>
  <c r="M223" i="2" s="1"/>
  <c r="H224" i="2"/>
  <c r="M224" i="2" s="1"/>
  <c r="H225" i="2"/>
  <c r="M225" i="2" s="1"/>
  <c r="H226" i="2"/>
  <c r="M226" i="2" s="1"/>
  <c r="H227" i="2"/>
  <c r="M227" i="2" s="1"/>
  <c r="H228" i="2"/>
  <c r="M228" i="2" s="1"/>
  <c r="H229" i="2"/>
  <c r="M229" i="2" s="1"/>
  <c r="H230" i="2"/>
  <c r="M230" i="2" s="1"/>
  <c r="H231" i="2"/>
  <c r="M231" i="2" s="1"/>
  <c r="H232" i="2"/>
  <c r="M232" i="2" s="1"/>
  <c r="H233" i="2"/>
  <c r="M233" i="2" s="1"/>
  <c r="H234" i="2"/>
  <c r="M234" i="2" s="1"/>
  <c r="H235" i="2"/>
  <c r="M235" i="2" s="1"/>
  <c r="H236" i="2"/>
  <c r="M236" i="2" s="1"/>
  <c r="H237" i="2"/>
  <c r="M237" i="2" s="1"/>
  <c r="H238" i="2"/>
  <c r="M238" i="2" s="1"/>
  <c r="H239" i="2"/>
  <c r="M239" i="2" s="1"/>
  <c r="H240" i="2"/>
  <c r="M240" i="2" s="1"/>
  <c r="H241" i="2"/>
  <c r="M241" i="2" s="1"/>
  <c r="H242" i="2"/>
  <c r="M242" i="2" s="1"/>
  <c r="H243" i="2"/>
  <c r="M243" i="2" s="1"/>
  <c r="H244" i="2"/>
  <c r="M244" i="2" s="1"/>
  <c r="H245" i="2"/>
  <c r="M245" i="2" s="1"/>
  <c r="H246" i="2"/>
  <c r="M246" i="2" s="1"/>
  <c r="H247" i="2"/>
  <c r="M247" i="2" s="1"/>
  <c r="H248" i="2"/>
  <c r="M248" i="2" s="1"/>
  <c r="H249" i="2"/>
  <c r="M249" i="2" s="1"/>
  <c r="H250" i="2"/>
  <c r="M250" i="2" s="1"/>
  <c r="H251" i="2"/>
  <c r="M251" i="2" s="1"/>
  <c r="H252" i="2"/>
  <c r="M252" i="2" s="1"/>
  <c r="H253" i="2"/>
  <c r="M253" i="2" s="1"/>
  <c r="H254" i="2"/>
  <c r="M254" i="2" s="1"/>
  <c r="H255" i="2"/>
  <c r="M255" i="2" s="1"/>
  <c r="H256" i="2"/>
  <c r="M256" i="2" s="1"/>
  <c r="H257" i="2"/>
  <c r="M257" i="2" s="1"/>
  <c r="H258" i="2"/>
  <c r="M258" i="2" s="1"/>
  <c r="H259" i="2"/>
  <c r="M259" i="2" s="1"/>
  <c r="H260" i="2"/>
  <c r="M260" i="2" s="1"/>
  <c r="H261" i="2"/>
  <c r="M261" i="2" s="1"/>
  <c r="H262" i="2"/>
  <c r="M262" i="2" s="1"/>
  <c r="H263" i="2"/>
  <c r="M263" i="2" s="1"/>
  <c r="H264" i="2"/>
  <c r="M264" i="2" s="1"/>
  <c r="H265" i="2"/>
  <c r="M265" i="2" s="1"/>
  <c r="H266" i="2"/>
  <c r="M266" i="2" s="1"/>
  <c r="H267" i="2"/>
  <c r="M267" i="2" s="1"/>
  <c r="H268" i="2"/>
  <c r="M268" i="2" s="1"/>
  <c r="H269" i="2"/>
  <c r="M269" i="2" s="1"/>
  <c r="H270" i="2"/>
  <c r="M270" i="2" s="1"/>
  <c r="H271" i="2"/>
  <c r="M271" i="2" s="1"/>
  <c r="H272" i="2"/>
  <c r="M272" i="2" s="1"/>
  <c r="H273" i="2"/>
  <c r="M273" i="2" s="1"/>
  <c r="H274" i="2"/>
  <c r="M274" i="2" s="1"/>
  <c r="H275" i="2"/>
  <c r="M275" i="2" s="1"/>
  <c r="H276" i="2"/>
  <c r="M276" i="2" s="1"/>
  <c r="H277" i="2"/>
  <c r="M277" i="2" s="1"/>
  <c r="H278" i="2"/>
  <c r="M278" i="2" s="1"/>
  <c r="H279" i="2"/>
  <c r="M279" i="2" s="1"/>
  <c r="H280" i="2"/>
  <c r="M280" i="2" s="1"/>
  <c r="H281" i="2"/>
  <c r="M281" i="2" s="1"/>
  <c r="H282" i="2"/>
  <c r="M282" i="2" s="1"/>
  <c r="H283" i="2"/>
  <c r="M283" i="2" s="1"/>
  <c r="H284" i="2"/>
  <c r="M284" i="2" s="1"/>
  <c r="H285" i="2"/>
  <c r="M285" i="2" s="1"/>
  <c r="H286" i="2"/>
  <c r="M286" i="2" s="1"/>
  <c r="H287" i="2"/>
  <c r="M287" i="2" s="1"/>
  <c r="H288" i="2"/>
  <c r="M288" i="2" s="1"/>
  <c r="H289" i="2"/>
  <c r="M289" i="2" s="1"/>
  <c r="H290" i="2"/>
  <c r="M290" i="2" s="1"/>
  <c r="H291" i="2"/>
  <c r="M291" i="2" s="1"/>
  <c r="H292" i="2"/>
  <c r="M292" i="2" s="1"/>
  <c r="H293" i="2"/>
  <c r="M293" i="2" s="1"/>
  <c r="H294" i="2"/>
  <c r="M294" i="2" s="1"/>
  <c r="H295" i="2"/>
  <c r="M295" i="2" s="1"/>
  <c r="H296" i="2"/>
  <c r="M296" i="2" s="1"/>
  <c r="H297" i="2"/>
  <c r="M297" i="2" s="1"/>
  <c r="H298" i="2"/>
  <c r="M298" i="2" s="1"/>
  <c r="H299" i="2"/>
  <c r="M299" i="2" s="1"/>
  <c r="H300" i="2"/>
  <c r="M300" i="2" s="1"/>
  <c r="D3" i="2"/>
  <c r="D4" i="2"/>
  <c r="E4" i="2" s="1"/>
  <c r="D5" i="2"/>
  <c r="E5" i="2" s="1"/>
  <c r="D6" i="2"/>
  <c r="E6" i="2" s="1"/>
  <c r="D7" i="2"/>
  <c r="D8" i="2"/>
  <c r="E8" i="2" s="1"/>
  <c r="D9" i="2"/>
  <c r="E9" i="2" s="1"/>
  <c r="D10" i="2"/>
  <c r="E10" i="2" s="1"/>
  <c r="D11" i="2"/>
  <c r="D12" i="2"/>
  <c r="E12" i="2" s="1"/>
  <c r="D13" i="2"/>
  <c r="E13" i="2" s="1"/>
  <c r="D14" i="2"/>
  <c r="E14" i="2" s="1"/>
  <c r="D15" i="2"/>
  <c r="D16" i="2"/>
  <c r="E16" i="2" s="1"/>
  <c r="D17" i="2"/>
  <c r="E17" i="2" s="1"/>
  <c r="D18" i="2"/>
  <c r="E18" i="2" s="1"/>
  <c r="D19" i="2"/>
  <c r="D20" i="2"/>
  <c r="E20" i="2" s="1"/>
  <c r="D21" i="2"/>
  <c r="E21" i="2" s="1"/>
  <c r="D22" i="2"/>
  <c r="E22" i="2" s="1"/>
  <c r="D23" i="2"/>
  <c r="D24" i="2"/>
  <c r="E24" i="2" s="1"/>
  <c r="D25" i="2"/>
  <c r="E25" i="2" s="1"/>
  <c r="D26" i="2"/>
  <c r="E26" i="2" s="1"/>
  <c r="D27" i="2"/>
  <c r="D28" i="2"/>
  <c r="E28" i="2" s="1"/>
  <c r="D29" i="2"/>
  <c r="E29" i="2" s="1"/>
  <c r="D30" i="2"/>
  <c r="E30" i="2" s="1"/>
  <c r="D31" i="2"/>
  <c r="D32" i="2"/>
  <c r="E32" i="2" s="1"/>
  <c r="D33" i="2"/>
  <c r="E33" i="2" s="1"/>
  <c r="D34" i="2"/>
  <c r="E34" i="2" s="1"/>
  <c r="D35" i="2"/>
  <c r="D36" i="2"/>
  <c r="E36" i="2" s="1"/>
  <c r="D37" i="2"/>
  <c r="D38" i="2"/>
  <c r="E38" i="2" s="1"/>
  <c r="D39" i="2"/>
  <c r="D40" i="2"/>
  <c r="E40" i="2" s="1"/>
  <c r="D41" i="2"/>
  <c r="D42" i="2"/>
  <c r="E42" i="2" s="1"/>
  <c r="D43" i="2"/>
  <c r="D44" i="2"/>
  <c r="D45" i="2"/>
  <c r="D46" i="2"/>
  <c r="E46" i="2" s="1"/>
  <c r="D47" i="2"/>
  <c r="D48" i="2"/>
  <c r="D49" i="2"/>
  <c r="D50" i="2"/>
  <c r="E50" i="2" s="1"/>
  <c r="D51" i="2"/>
  <c r="D52" i="2"/>
  <c r="D53" i="2"/>
  <c r="D54" i="2"/>
  <c r="E54" i="2" s="1"/>
  <c r="D55" i="2"/>
  <c r="D56" i="2"/>
  <c r="D57" i="2"/>
  <c r="D58" i="2"/>
  <c r="E58" i="2" s="1"/>
  <c r="D59" i="2"/>
  <c r="D60" i="2"/>
  <c r="D61" i="2"/>
  <c r="D62" i="2"/>
  <c r="E62" i="2" s="1"/>
  <c r="D63" i="2"/>
  <c r="D64" i="2"/>
  <c r="D65" i="2"/>
  <c r="D66" i="2"/>
  <c r="E66" i="2" s="1"/>
  <c r="D67" i="2"/>
  <c r="D68" i="2"/>
  <c r="D69" i="2"/>
  <c r="D70" i="2"/>
  <c r="E70" i="2" s="1"/>
  <c r="D71" i="2"/>
  <c r="D72" i="2"/>
  <c r="D73" i="2"/>
  <c r="D74" i="2"/>
  <c r="E74" i="2" s="1"/>
  <c r="D75" i="2"/>
  <c r="D76" i="2"/>
  <c r="D77" i="2"/>
  <c r="D78" i="2"/>
  <c r="E78" i="2" s="1"/>
  <c r="D79" i="2"/>
  <c r="D80" i="2"/>
  <c r="D81" i="2"/>
  <c r="D82" i="2"/>
  <c r="E82" i="2" s="1"/>
  <c r="D83" i="2"/>
  <c r="D84" i="2"/>
  <c r="D85" i="2"/>
  <c r="D86" i="2"/>
  <c r="E86" i="2" s="1"/>
  <c r="D87" i="2"/>
  <c r="D88" i="2"/>
  <c r="D89" i="2"/>
  <c r="D90" i="2"/>
  <c r="E90" i="2" s="1"/>
  <c r="D91" i="2"/>
  <c r="D92" i="2"/>
  <c r="D93" i="2"/>
  <c r="D94" i="2"/>
  <c r="E94" i="2" s="1"/>
  <c r="D95" i="2"/>
  <c r="D96" i="2"/>
  <c r="D97" i="2"/>
  <c r="D98" i="2"/>
  <c r="E98" i="2" s="1"/>
  <c r="D99" i="2"/>
  <c r="D100" i="2"/>
  <c r="D101" i="2"/>
  <c r="D102" i="2"/>
  <c r="E102" i="2" s="1"/>
  <c r="D103" i="2"/>
  <c r="D104" i="2"/>
  <c r="D105" i="2"/>
  <c r="D106" i="2"/>
  <c r="E106" i="2" s="1"/>
  <c r="D107" i="2"/>
  <c r="D108" i="2"/>
  <c r="D109" i="2"/>
  <c r="D110" i="2"/>
  <c r="E110" i="2" s="1"/>
  <c r="D111" i="2"/>
  <c r="D112" i="2"/>
  <c r="D113" i="2"/>
  <c r="D114" i="2"/>
  <c r="E114" i="2" s="1"/>
  <c r="D115" i="2"/>
  <c r="D116" i="2"/>
  <c r="D117" i="2"/>
  <c r="D118" i="2"/>
  <c r="E118" i="2" s="1"/>
  <c r="D119" i="2"/>
  <c r="D120" i="2"/>
  <c r="D121" i="2"/>
  <c r="D122" i="2"/>
  <c r="E122" i="2" s="1"/>
  <c r="D123" i="2"/>
  <c r="D124" i="2"/>
  <c r="D125" i="2"/>
  <c r="D126" i="2"/>
  <c r="E126" i="2" s="1"/>
  <c r="D127" i="2"/>
  <c r="D128" i="2"/>
  <c r="D129" i="2"/>
  <c r="D130" i="2"/>
  <c r="E130" i="2" s="1"/>
  <c r="D131" i="2"/>
  <c r="D132" i="2"/>
  <c r="D133" i="2"/>
  <c r="D134" i="2"/>
  <c r="E134" i="2" s="1"/>
  <c r="D135" i="2"/>
  <c r="D136" i="2"/>
  <c r="D137" i="2"/>
  <c r="D138" i="2"/>
  <c r="E138" i="2" s="1"/>
  <c r="D139" i="2"/>
  <c r="D140" i="2"/>
  <c r="D141" i="2"/>
  <c r="D142" i="2"/>
  <c r="E142" i="2" s="1"/>
  <c r="D143" i="2"/>
  <c r="D144" i="2"/>
  <c r="D145" i="2"/>
  <c r="D146" i="2"/>
  <c r="E146" i="2" s="1"/>
  <c r="D147" i="2"/>
  <c r="D148" i="2"/>
  <c r="D149" i="2"/>
  <c r="D150" i="2"/>
  <c r="E150" i="2" s="1"/>
  <c r="D151" i="2"/>
  <c r="D152" i="2"/>
  <c r="D153" i="2"/>
  <c r="D154" i="2"/>
  <c r="E154" i="2" s="1"/>
  <c r="D155" i="2"/>
  <c r="D156" i="2"/>
  <c r="D157" i="2"/>
  <c r="D158" i="2"/>
  <c r="E158" i="2" s="1"/>
  <c r="D159" i="2"/>
  <c r="D160" i="2"/>
  <c r="D161" i="2"/>
  <c r="D162" i="2"/>
  <c r="E162" i="2" s="1"/>
  <c r="D163" i="2"/>
  <c r="D164" i="2"/>
  <c r="D165" i="2"/>
  <c r="D166" i="2"/>
  <c r="E166" i="2" s="1"/>
  <c r="D167" i="2"/>
  <c r="D168" i="2"/>
  <c r="D169" i="2"/>
  <c r="D170" i="2"/>
  <c r="E170" i="2" s="1"/>
  <c r="D171" i="2"/>
  <c r="D172" i="2"/>
  <c r="D173" i="2"/>
  <c r="D174" i="2"/>
  <c r="E174" i="2" s="1"/>
  <c r="D175" i="2"/>
  <c r="D176" i="2"/>
  <c r="D177" i="2"/>
  <c r="D178" i="2"/>
  <c r="E178" i="2" s="1"/>
  <c r="D179" i="2"/>
  <c r="D180" i="2"/>
  <c r="D181" i="2"/>
  <c r="D182" i="2"/>
  <c r="E182" i="2" s="1"/>
  <c r="D183" i="2"/>
  <c r="D184" i="2"/>
  <c r="D185" i="2"/>
  <c r="D186" i="2"/>
  <c r="E186" i="2" s="1"/>
  <c r="D187" i="2"/>
  <c r="D188" i="2"/>
  <c r="D189" i="2"/>
  <c r="D190" i="2"/>
  <c r="E190" i="2" s="1"/>
  <c r="D191" i="2"/>
  <c r="D192" i="2"/>
  <c r="D193" i="2"/>
  <c r="D194" i="2"/>
  <c r="E194" i="2" s="1"/>
  <c r="D195" i="2"/>
  <c r="D196" i="2"/>
  <c r="D197" i="2"/>
  <c r="D198" i="2"/>
  <c r="E198" i="2" s="1"/>
  <c r="D199" i="2"/>
  <c r="D200" i="2"/>
  <c r="D201" i="2"/>
  <c r="D202" i="2"/>
  <c r="E202" i="2" s="1"/>
  <c r="D203" i="2"/>
  <c r="D204" i="2"/>
  <c r="D205" i="2"/>
  <c r="D206" i="2"/>
  <c r="E206" i="2" s="1"/>
  <c r="D207" i="2"/>
  <c r="D208" i="2"/>
  <c r="D209" i="2"/>
  <c r="D210" i="2"/>
  <c r="E210" i="2" s="1"/>
  <c r="D211" i="2"/>
  <c r="D212" i="2"/>
  <c r="D213" i="2"/>
  <c r="D214" i="2"/>
  <c r="E214" i="2" s="1"/>
  <c r="D215" i="2"/>
  <c r="D216" i="2"/>
  <c r="D217" i="2"/>
  <c r="D218" i="2"/>
  <c r="E218" i="2" s="1"/>
  <c r="D219" i="2"/>
  <c r="D220" i="2"/>
  <c r="D221" i="2"/>
  <c r="D222" i="2"/>
  <c r="E222" i="2" s="1"/>
  <c r="D223" i="2"/>
  <c r="D224" i="2"/>
  <c r="D225" i="2"/>
  <c r="D226" i="2"/>
  <c r="E226" i="2" s="1"/>
  <c r="D227" i="2"/>
  <c r="D228" i="2"/>
  <c r="D229" i="2"/>
  <c r="D230" i="2"/>
  <c r="E230" i="2" s="1"/>
  <c r="D231" i="2"/>
  <c r="D232" i="2"/>
  <c r="D233" i="2"/>
  <c r="D234" i="2"/>
  <c r="E234" i="2" s="1"/>
  <c r="D235" i="2"/>
  <c r="D236" i="2"/>
  <c r="D237" i="2"/>
  <c r="D238" i="2"/>
  <c r="E238" i="2" s="1"/>
  <c r="D239" i="2"/>
  <c r="D240" i="2"/>
  <c r="D241" i="2"/>
  <c r="D242" i="2"/>
  <c r="E242" i="2" s="1"/>
  <c r="D243" i="2"/>
  <c r="D244" i="2"/>
  <c r="D245" i="2"/>
  <c r="D246" i="2"/>
  <c r="E246" i="2" s="1"/>
  <c r="D247" i="2"/>
  <c r="D248" i="2"/>
  <c r="D249" i="2"/>
  <c r="D250" i="2"/>
  <c r="E250" i="2" s="1"/>
  <c r="D251" i="2"/>
  <c r="D252" i="2"/>
  <c r="D253" i="2"/>
  <c r="D254" i="2"/>
  <c r="E254" i="2" s="1"/>
  <c r="D255" i="2"/>
  <c r="D256" i="2"/>
  <c r="D257" i="2"/>
  <c r="D258" i="2"/>
  <c r="E258" i="2" s="1"/>
  <c r="D259" i="2"/>
  <c r="D260" i="2"/>
  <c r="D261" i="2"/>
  <c r="D262" i="2"/>
  <c r="E262" i="2" s="1"/>
  <c r="D263" i="2"/>
  <c r="D264" i="2"/>
  <c r="D265" i="2"/>
  <c r="D266" i="2"/>
  <c r="E266" i="2" s="1"/>
  <c r="D267" i="2"/>
  <c r="D268" i="2"/>
  <c r="D269" i="2"/>
  <c r="D270" i="2"/>
  <c r="E270" i="2" s="1"/>
  <c r="D271" i="2"/>
  <c r="D272" i="2"/>
  <c r="D273" i="2"/>
  <c r="D274" i="2"/>
  <c r="E274" i="2" s="1"/>
  <c r="D275" i="2"/>
  <c r="D276" i="2"/>
  <c r="D277" i="2"/>
  <c r="D278" i="2"/>
  <c r="E278" i="2" s="1"/>
  <c r="D279" i="2"/>
  <c r="D280" i="2"/>
  <c r="D281" i="2"/>
  <c r="D282" i="2"/>
  <c r="E282" i="2" s="1"/>
  <c r="D283" i="2"/>
  <c r="D284" i="2"/>
  <c r="D285" i="2"/>
  <c r="D286" i="2"/>
  <c r="E286" i="2" s="1"/>
  <c r="D287" i="2"/>
  <c r="D288" i="2"/>
  <c r="D289" i="2"/>
  <c r="D290" i="2"/>
  <c r="E290" i="2" s="1"/>
  <c r="D291" i="2"/>
  <c r="D292" i="2"/>
  <c r="D293" i="2"/>
  <c r="D294" i="2"/>
  <c r="E294" i="2" s="1"/>
  <c r="D295" i="2"/>
  <c r="D296" i="2"/>
  <c r="D297" i="2"/>
  <c r="E297" i="2" s="1"/>
  <c r="D298" i="2"/>
  <c r="E298" i="2" s="1"/>
  <c r="D299" i="2"/>
  <c r="D300" i="2"/>
  <c r="D2" i="2"/>
  <c r="E2" i="2" s="1"/>
  <c r="C3" i="2"/>
  <c r="C4" i="2"/>
  <c r="C5" i="2"/>
  <c r="C6" i="2"/>
  <c r="C7" i="2"/>
  <c r="C8" i="2"/>
  <c r="C9" i="2"/>
  <c r="C10" i="2"/>
  <c r="C11" i="2"/>
  <c r="C12" i="2"/>
  <c r="C13" i="2"/>
  <c r="C14" i="2"/>
  <c r="C15" i="2"/>
  <c r="C16" i="2"/>
  <c r="C17" i="2"/>
  <c r="C18" i="2"/>
  <c r="C19" i="2"/>
  <c r="C20" i="2"/>
  <c r="C21" i="2"/>
  <c r="C22" i="2"/>
  <c r="C23" i="2"/>
  <c r="C24" i="2"/>
  <c r="C25" i="2"/>
  <c r="C26" i="2"/>
  <c r="C27" i="2"/>
  <c r="C28" i="2"/>
  <c r="C29" i="2"/>
  <c r="C30" i="2"/>
  <c r="C31" i="2"/>
  <c r="C32" i="2"/>
  <c r="C33" i="2"/>
  <c r="C34" i="2"/>
  <c r="C35" i="2"/>
  <c r="C36" i="2"/>
  <c r="C37" i="2"/>
  <c r="C38" i="2"/>
  <c r="C39" i="2"/>
  <c r="C40" i="2"/>
  <c r="C41" i="2"/>
  <c r="C42" i="2"/>
  <c r="C43" i="2"/>
  <c r="C44" i="2"/>
  <c r="C45" i="2"/>
  <c r="C46" i="2"/>
  <c r="C47" i="2"/>
  <c r="C48" i="2"/>
  <c r="C49" i="2"/>
  <c r="C50" i="2"/>
  <c r="C51" i="2"/>
  <c r="C52" i="2"/>
  <c r="C53" i="2"/>
  <c r="C54" i="2"/>
  <c r="C55" i="2"/>
  <c r="C56" i="2"/>
  <c r="C57" i="2"/>
  <c r="C58" i="2"/>
  <c r="C59" i="2"/>
  <c r="C60" i="2"/>
  <c r="C61" i="2"/>
  <c r="C62" i="2"/>
  <c r="C63" i="2"/>
  <c r="C64" i="2"/>
  <c r="C65" i="2"/>
  <c r="C66" i="2"/>
  <c r="C67" i="2"/>
  <c r="C68" i="2"/>
  <c r="C69" i="2"/>
  <c r="C70" i="2"/>
  <c r="C71" i="2"/>
  <c r="C72" i="2"/>
  <c r="C73" i="2"/>
  <c r="C74" i="2"/>
  <c r="C75" i="2"/>
  <c r="C76" i="2"/>
  <c r="C77" i="2"/>
  <c r="C78" i="2"/>
  <c r="C79" i="2"/>
  <c r="C80" i="2"/>
  <c r="C81" i="2"/>
  <c r="C82" i="2"/>
  <c r="C83" i="2"/>
  <c r="C84" i="2"/>
  <c r="C85" i="2"/>
  <c r="C86" i="2"/>
  <c r="C87" i="2"/>
  <c r="C88" i="2"/>
  <c r="C89" i="2"/>
  <c r="C90" i="2"/>
  <c r="C91" i="2"/>
  <c r="C92" i="2"/>
  <c r="C93" i="2"/>
  <c r="C94" i="2"/>
  <c r="C95" i="2"/>
  <c r="C96" i="2"/>
  <c r="C97" i="2"/>
  <c r="C98" i="2"/>
  <c r="C99" i="2"/>
  <c r="C100" i="2"/>
  <c r="C101" i="2"/>
  <c r="C102" i="2"/>
  <c r="C103" i="2"/>
  <c r="C104" i="2"/>
  <c r="C105" i="2"/>
  <c r="C106" i="2"/>
  <c r="C107" i="2"/>
  <c r="C108" i="2"/>
  <c r="C109" i="2"/>
  <c r="C110" i="2"/>
  <c r="C111" i="2"/>
  <c r="C112" i="2"/>
  <c r="C113" i="2"/>
  <c r="C114" i="2"/>
  <c r="C115" i="2"/>
  <c r="C116" i="2"/>
  <c r="C117" i="2"/>
  <c r="C118" i="2"/>
  <c r="C119" i="2"/>
  <c r="C120" i="2"/>
  <c r="C121" i="2"/>
  <c r="C122" i="2"/>
  <c r="C123" i="2"/>
  <c r="C124" i="2"/>
  <c r="C125" i="2"/>
  <c r="C126" i="2"/>
  <c r="C127" i="2"/>
  <c r="C128" i="2"/>
  <c r="C129" i="2"/>
  <c r="C130" i="2"/>
  <c r="C131" i="2"/>
  <c r="C132" i="2"/>
  <c r="C133" i="2"/>
  <c r="C134" i="2"/>
  <c r="C135" i="2"/>
  <c r="C136" i="2"/>
  <c r="C137" i="2"/>
  <c r="C138" i="2"/>
  <c r="C139" i="2"/>
  <c r="C140" i="2"/>
  <c r="C141" i="2"/>
  <c r="C142" i="2"/>
  <c r="C143" i="2"/>
  <c r="C144" i="2"/>
  <c r="C145" i="2"/>
  <c r="C146" i="2"/>
  <c r="C147" i="2"/>
  <c r="C148" i="2"/>
  <c r="C149" i="2"/>
  <c r="C150" i="2"/>
  <c r="C151" i="2"/>
  <c r="C152" i="2"/>
  <c r="C153" i="2"/>
  <c r="C154" i="2"/>
  <c r="C155" i="2"/>
  <c r="C156" i="2"/>
  <c r="C157" i="2"/>
  <c r="C158" i="2"/>
  <c r="C159" i="2"/>
  <c r="C160" i="2"/>
  <c r="C161" i="2"/>
  <c r="C162" i="2"/>
  <c r="C163" i="2"/>
  <c r="C164" i="2"/>
  <c r="C165" i="2"/>
  <c r="C166" i="2"/>
  <c r="C167" i="2"/>
  <c r="C168" i="2"/>
  <c r="C169" i="2"/>
  <c r="C170" i="2"/>
  <c r="C171" i="2"/>
  <c r="C172" i="2"/>
  <c r="C173" i="2"/>
  <c r="C174" i="2"/>
  <c r="C175" i="2"/>
  <c r="C176" i="2"/>
  <c r="C177" i="2"/>
  <c r="C178" i="2"/>
  <c r="C179" i="2"/>
  <c r="C180" i="2"/>
  <c r="C181" i="2"/>
  <c r="C182" i="2"/>
  <c r="C183" i="2"/>
  <c r="C184" i="2"/>
  <c r="C185" i="2"/>
  <c r="C186" i="2"/>
  <c r="C187" i="2"/>
  <c r="C188" i="2"/>
  <c r="C189" i="2"/>
  <c r="C190" i="2"/>
  <c r="C191" i="2"/>
  <c r="C192" i="2"/>
  <c r="C193" i="2"/>
  <c r="C194" i="2"/>
  <c r="C195" i="2"/>
  <c r="C196" i="2"/>
  <c r="C197" i="2"/>
  <c r="C198" i="2"/>
  <c r="C199" i="2"/>
  <c r="C200" i="2"/>
  <c r="C201" i="2"/>
  <c r="C202" i="2"/>
  <c r="C203" i="2"/>
  <c r="C204" i="2"/>
  <c r="C205" i="2"/>
  <c r="C206" i="2"/>
  <c r="C207" i="2"/>
  <c r="C208" i="2"/>
  <c r="C209" i="2"/>
  <c r="C210" i="2"/>
  <c r="C211" i="2"/>
  <c r="C212" i="2"/>
  <c r="C213" i="2"/>
  <c r="C214" i="2"/>
  <c r="C215" i="2"/>
  <c r="C216" i="2"/>
  <c r="C217" i="2"/>
  <c r="C218" i="2"/>
  <c r="C219" i="2"/>
  <c r="C220" i="2"/>
  <c r="C221" i="2"/>
  <c r="C222" i="2"/>
  <c r="C223" i="2"/>
  <c r="C224" i="2"/>
  <c r="C225" i="2"/>
  <c r="C226" i="2"/>
  <c r="C227" i="2"/>
  <c r="C228" i="2"/>
  <c r="C229" i="2"/>
  <c r="C230" i="2"/>
  <c r="C231" i="2"/>
  <c r="C232" i="2"/>
  <c r="C233" i="2"/>
  <c r="C234" i="2"/>
  <c r="C235" i="2"/>
  <c r="C236" i="2"/>
  <c r="C237" i="2"/>
  <c r="C238" i="2"/>
  <c r="C239" i="2"/>
  <c r="C240" i="2"/>
  <c r="C241" i="2"/>
  <c r="C242" i="2"/>
  <c r="C243" i="2"/>
  <c r="C244" i="2"/>
  <c r="C245" i="2"/>
  <c r="C246" i="2"/>
  <c r="C247" i="2"/>
  <c r="C248" i="2"/>
  <c r="C249" i="2"/>
  <c r="C250" i="2"/>
  <c r="C251" i="2"/>
  <c r="C252" i="2"/>
  <c r="C253" i="2"/>
  <c r="C254" i="2"/>
  <c r="C255" i="2"/>
  <c r="C256" i="2"/>
  <c r="C257" i="2"/>
  <c r="C258" i="2"/>
  <c r="C259" i="2"/>
  <c r="C260" i="2"/>
  <c r="C261" i="2"/>
  <c r="C262" i="2"/>
  <c r="C263" i="2"/>
  <c r="C264" i="2"/>
  <c r="C265" i="2"/>
  <c r="C266" i="2"/>
  <c r="C267" i="2"/>
  <c r="C268" i="2"/>
  <c r="C269" i="2"/>
  <c r="C270" i="2"/>
  <c r="C271" i="2"/>
  <c r="C272" i="2"/>
  <c r="C273" i="2"/>
  <c r="C274" i="2"/>
  <c r="C275" i="2"/>
  <c r="C276" i="2"/>
  <c r="C277" i="2"/>
  <c r="C278" i="2"/>
  <c r="C279" i="2"/>
  <c r="C280" i="2"/>
  <c r="C281" i="2"/>
  <c r="C282" i="2"/>
  <c r="C283" i="2"/>
  <c r="C284" i="2"/>
  <c r="C285" i="2"/>
  <c r="C286" i="2"/>
  <c r="C287" i="2"/>
  <c r="C288" i="2"/>
  <c r="C289" i="2"/>
  <c r="C290" i="2"/>
  <c r="C291" i="2"/>
  <c r="C292" i="2"/>
  <c r="C293" i="2"/>
  <c r="C294" i="2"/>
  <c r="C295" i="2"/>
  <c r="C296" i="2"/>
  <c r="C297" i="2"/>
  <c r="C298" i="2"/>
  <c r="C299" i="2"/>
  <c r="C300" i="2"/>
  <c r="C2" i="2"/>
  <c r="B31" i="2"/>
  <c r="B32" i="2"/>
  <c r="B33" i="2"/>
  <c r="B34" i="2"/>
  <c r="B35" i="2"/>
  <c r="B36" i="2"/>
  <c r="B37" i="2"/>
  <c r="B38" i="2"/>
  <c r="B39" i="2"/>
  <c r="B40" i="2"/>
  <c r="B41" i="2"/>
  <c r="B42" i="2"/>
  <c r="B43" i="2"/>
  <c r="B44" i="2"/>
  <c r="B45" i="2"/>
  <c r="B46" i="2"/>
  <c r="B47" i="2"/>
  <c r="B48" i="2"/>
  <c r="B49" i="2"/>
  <c r="B50" i="2"/>
  <c r="B51" i="2"/>
  <c r="B52" i="2"/>
  <c r="B53" i="2"/>
  <c r="B54" i="2"/>
  <c r="B55" i="2"/>
  <c r="B56" i="2"/>
  <c r="B57" i="2"/>
  <c r="B58" i="2"/>
  <c r="B59" i="2"/>
  <c r="B60" i="2"/>
  <c r="B61" i="2"/>
  <c r="B62" i="2"/>
  <c r="B63" i="2"/>
  <c r="B64" i="2"/>
  <c r="B65" i="2"/>
  <c r="B66" i="2"/>
  <c r="B67" i="2"/>
  <c r="B68" i="2"/>
  <c r="B69" i="2"/>
  <c r="B70" i="2"/>
  <c r="B71" i="2"/>
  <c r="B72" i="2"/>
  <c r="B73" i="2"/>
  <c r="B74" i="2"/>
  <c r="B75" i="2"/>
  <c r="B76" i="2"/>
  <c r="B77" i="2"/>
  <c r="B78" i="2"/>
  <c r="B79" i="2"/>
  <c r="B80" i="2"/>
  <c r="B81" i="2"/>
  <c r="B82" i="2"/>
  <c r="B83" i="2"/>
  <c r="B84" i="2"/>
  <c r="B85" i="2"/>
  <c r="B86" i="2"/>
  <c r="B87" i="2"/>
  <c r="B88" i="2"/>
  <c r="B89" i="2"/>
  <c r="B90" i="2"/>
  <c r="B91" i="2"/>
  <c r="B92" i="2"/>
  <c r="B93" i="2"/>
  <c r="B94" i="2"/>
  <c r="B95" i="2"/>
  <c r="B96" i="2"/>
  <c r="B97" i="2"/>
  <c r="B98" i="2"/>
  <c r="B99" i="2"/>
  <c r="B100" i="2"/>
  <c r="B101" i="2"/>
  <c r="B102" i="2"/>
  <c r="B103" i="2"/>
  <c r="B104" i="2"/>
  <c r="B105" i="2"/>
  <c r="B106" i="2"/>
  <c r="B107" i="2"/>
  <c r="B108" i="2"/>
  <c r="B109" i="2"/>
  <c r="B110" i="2"/>
  <c r="B111" i="2"/>
  <c r="B112" i="2"/>
  <c r="B113" i="2"/>
  <c r="B114" i="2"/>
  <c r="B115" i="2"/>
  <c r="B116" i="2"/>
  <c r="B117" i="2"/>
  <c r="B118" i="2"/>
  <c r="B119" i="2"/>
  <c r="B120" i="2"/>
  <c r="B121" i="2"/>
  <c r="B122" i="2"/>
  <c r="B123" i="2"/>
  <c r="B124" i="2"/>
  <c r="B125" i="2"/>
  <c r="B126" i="2"/>
  <c r="B127" i="2"/>
  <c r="B128" i="2"/>
  <c r="B129" i="2"/>
  <c r="B130" i="2"/>
  <c r="B131" i="2"/>
  <c r="B132" i="2"/>
  <c r="B133" i="2"/>
  <c r="B134" i="2"/>
  <c r="B135" i="2"/>
  <c r="B136" i="2"/>
  <c r="B137" i="2"/>
  <c r="B138" i="2"/>
  <c r="B139" i="2"/>
  <c r="B140" i="2"/>
  <c r="B141" i="2"/>
  <c r="B142" i="2"/>
  <c r="B143" i="2"/>
  <c r="B144" i="2"/>
  <c r="B145" i="2"/>
  <c r="B146" i="2"/>
  <c r="B147" i="2"/>
  <c r="B148" i="2"/>
  <c r="B149" i="2"/>
  <c r="B150" i="2"/>
  <c r="B151" i="2"/>
  <c r="B152" i="2"/>
  <c r="B153" i="2"/>
  <c r="B154" i="2"/>
  <c r="B155" i="2"/>
  <c r="B156" i="2"/>
  <c r="B157" i="2"/>
  <c r="B158" i="2"/>
  <c r="B159" i="2"/>
  <c r="B160" i="2"/>
  <c r="B161" i="2"/>
  <c r="B162" i="2"/>
  <c r="B163" i="2"/>
  <c r="B164" i="2"/>
  <c r="B165" i="2"/>
  <c r="B166" i="2"/>
  <c r="B167" i="2"/>
  <c r="B168" i="2"/>
  <c r="B169" i="2"/>
  <c r="B170" i="2"/>
  <c r="B171" i="2"/>
  <c r="B172" i="2"/>
  <c r="B173" i="2"/>
  <c r="B174" i="2"/>
  <c r="B175" i="2"/>
  <c r="B176" i="2"/>
  <c r="B177" i="2"/>
  <c r="B178" i="2"/>
  <c r="B179" i="2"/>
  <c r="B180" i="2"/>
  <c r="B181" i="2"/>
  <c r="B182" i="2"/>
  <c r="B183" i="2"/>
  <c r="B184" i="2"/>
  <c r="B185" i="2"/>
  <c r="B186" i="2"/>
  <c r="B187" i="2"/>
  <c r="B188" i="2"/>
  <c r="B189" i="2"/>
  <c r="B190" i="2"/>
  <c r="B191" i="2"/>
  <c r="B192" i="2"/>
  <c r="B193" i="2"/>
  <c r="B194" i="2"/>
  <c r="B195" i="2"/>
  <c r="B196" i="2"/>
  <c r="B197" i="2"/>
  <c r="B198" i="2"/>
  <c r="B199" i="2"/>
  <c r="B200" i="2"/>
  <c r="B201" i="2"/>
  <c r="B202" i="2"/>
  <c r="B203" i="2"/>
  <c r="B204" i="2"/>
  <c r="B205" i="2"/>
  <c r="B206" i="2"/>
  <c r="B207" i="2"/>
  <c r="B208" i="2"/>
  <c r="B209" i="2"/>
  <c r="B210" i="2"/>
  <c r="B211" i="2"/>
  <c r="B212" i="2"/>
  <c r="B213" i="2"/>
  <c r="B214" i="2"/>
  <c r="B215" i="2"/>
  <c r="B216" i="2"/>
  <c r="B217" i="2"/>
  <c r="B218" i="2"/>
  <c r="B219" i="2"/>
  <c r="B220" i="2"/>
  <c r="B221" i="2"/>
  <c r="B222" i="2"/>
  <c r="B223" i="2"/>
  <c r="B224" i="2"/>
  <c r="B225" i="2"/>
  <c r="B226" i="2"/>
  <c r="B227" i="2"/>
  <c r="B228" i="2"/>
  <c r="B229" i="2"/>
  <c r="B230" i="2"/>
  <c r="B231" i="2"/>
  <c r="B232" i="2"/>
  <c r="B233" i="2"/>
  <c r="B234" i="2"/>
  <c r="B235" i="2"/>
  <c r="B236" i="2"/>
  <c r="B237" i="2"/>
  <c r="B238" i="2"/>
  <c r="B239" i="2"/>
  <c r="B240" i="2"/>
  <c r="B241" i="2"/>
  <c r="B242" i="2"/>
  <c r="B243" i="2"/>
  <c r="B244" i="2"/>
  <c r="B245" i="2"/>
  <c r="B246" i="2"/>
  <c r="B247" i="2"/>
  <c r="B248" i="2"/>
  <c r="B249" i="2"/>
  <c r="B250" i="2"/>
  <c r="B251" i="2"/>
  <c r="B252" i="2"/>
  <c r="B253" i="2"/>
  <c r="B254" i="2"/>
  <c r="B255" i="2"/>
  <c r="B256" i="2"/>
  <c r="B257" i="2"/>
  <c r="B258" i="2"/>
  <c r="B259" i="2"/>
  <c r="B260" i="2"/>
  <c r="B261" i="2"/>
  <c r="B262" i="2"/>
  <c r="B263" i="2"/>
  <c r="B264" i="2"/>
  <c r="B265" i="2"/>
  <c r="B266" i="2"/>
  <c r="B267" i="2"/>
  <c r="B268" i="2"/>
  <c r="B269" i="2"/>
  <c r="B270" i="2"/>
  <c r="B271" i="2"/>
  <c r="B272" i="2"/>
  <c r="B273" i="2"/>
  <c r="B274" i="2"/>
  <c r="B275" i="2"/>
  <c r="B276" i="2"/>
  <c r="B277" i="2"/>
  <c r="B278" i="2"/>
  <c r="B279" i="2"/>
  <c r="B280" i="2"/>
  <c r="B281" i="2"/>
  <c r="B282" i="2"/>
  <c r="B283" i="2"/>
  <c r="B284" i="2"/>
  <c r="B285" i="2"/>
  <c r="B286" i="2"/>
  <c r="B287" i="2"/>
  <c r="B288" i="2"/>
  <c r="B289" i="2"/>
  <c r="B290" i="2"/>
  <c r="B291" i="2"/>
  <c r="B292" i="2"/>
  <c r="B293" i="2"/>
  <c r="B294" i="2"/>
  <c r="B295" i="2"/>
  <c r="B296" i="2"/>
  <c r="B297" i="2"/>
  <c r="B298" i="2"/>
  <c r="B299" i="2"/>
  <c r="B300" i="2"/>
  <c r="B24" i="2"/>
  <c r="B25" i="2"/>
  <c r="B26" i="2"/>
  <c r="B27" i="2"/>
  <c r="B28" i="2"/>
  <c r="B29" i="2"/>
  <c r="B30" i="2"/>
  <c r="B3" i="2"/>
  <c r="B4" i="2"/>
  <c r="B5" i="2"/>
  <c r="B6" i="2"/>
  <c r="B7" i="2"/>
  <c r="B8" i="2"/>
  <c r="B9" i="2"/>
  <c r="B10" i="2"/>
  <c r="B11" i="2"/>
  <c r="B12" i="2"/>
  <c r="B13" i="2"/>
  <c r="B14" i="2"/>
  <c r="B15" i="2"/>
  <c r="B16" i="2"/>
  <c r="B17" i="2"/>
  <c r="B18" i="2"/>
  <c r="B19" i="2"/>
  <c r="B20" i="2"/>
  <c r="B21" i="2"/>
  <c r="B22" i="2"/>
  <c r="B23" i="2"/>
  <c r="B2" i="2"/>
  <c r="A3" i="2"/>
  <c r="A4" i="2"/>
  <c r="A5" i="2"/>
  <c r="A6" i="2"/>
  <c r="A7" i="2"/>
  <c r="A8" i="2"/>
  <c r="A9" i="2"/>
  <c r="A10" i="2"/>
  <c r="A11" i="2"/>
  <c r="A12" i="2"/>
  <c r="A13" i="2"/>
  <c r="A14" i="2"/>
  <c r="A15" i="2"/>
  <c r="A16" i="2"/>
  <c r="A17" i="2"/>
  <c r="A18" i="2"/>
  <c r="A19" i="2"/>
  <c r="A20" i="2"/>
  <c r="A21" i="2"/>
  <c r="A22" i="2"/>
  <c r="A23" i="2"/>
  <c r="A24" i="2"/>
  <c r="A25" i="2"/>
  <c r="A26" i="2"/>
  <c r="A27" i="2"/>
  <c r="A28" i="2"/>
  <c r="A29" i="2"/>
  <c r="A30" i="2"/>
  <c r="A31" i="2"/>
  <c r="A32" i="2"/>
  <c r="A33" i="2"/>
  <c r="A34" i="2"/>
  <c r="A35" i="2"/>
  <c r="A36" i="2"/>
  <c r="A37" i="2"/>
  <c r="A38" i="2"/>
  <c r="A39" i="2"/>
  <c r="A40" i="2"/>
  <c r="A41" i="2"/>
  <c r="A42" i="2"/>
  <c r="A43" i="2"/>
  <c r="A44" i="2"/>
  <c r="A45" i="2"/>
  <c r="A46" i="2"/>
  <c r="A47" i="2"/>
  <c r="A48" i="2"/>
  <c r="A49" i="2"/>
  <c r="A50" i="2"/>
  <c r="A51" i="2"/>
  <c r="A52" i="2"/>
  <c r="A53" i="2"/>
  <c r="A54" i="2"/>
  <c r="A55" i="2"/>
  <c r="A56" i="2"/>
  <c r="A57" i="2"/>
  <c r="A58" i="2"/>
  <c r="A59" i="2"/>
  <c r="A60" i="2"/>
  <c r="A61" i="2"/>
  <c r="A62" i="2"/>
  <c r="A63" i="2"/>
  <c r="A64" i="2"/>
  <c r="A65" i="2"/>
  <c r="A66" i="2"/>
  <c r="A67" i="2"/>
  <c r="A68" i="2"/>
  <c r="A69" i="2"/>
  <c r="A70" i="2"/>
  <c r="A71" i="2"/>
  <c r="A72" i="2"/>
  <c r="A73" i="2"/>
  <c r="A74" i="2"/>
  <c r="A75" i="2"/>
  <c r="A76" i="2"/>
  <c r="A77" i="2"/>
  <c r="A78" i="2"/>
  <c r="A79" i="2"/>
  <c r="A80" i="2"/>
  <c r="A81" i="2"/>
  <c r="A82" i="2"/>
  <c r="A83" i="2"/>
  <c r="A84" i="2"/>
  <c r="A85" i="2"/>
  <c r="A86" i="2"/>
  <c r="A87" i="2"/>
  <c r="A88" i="2"/>
  <c r="A89" i="2"/>
  <c r="A90" i="2"/>
  <c r="A91" i="2"/>
  <c r="A92" i="2"/>
  <c r="A93" i="2"/>
  <c r="A94" i="2"/>
  <c r="A95" i="2"/>
  <c r="A96" i="2"/>
  <c r="A97" i="2"/>
  <c r="A98" i="2"/>
  <c r="A99" i="2"/>
  <c r="A100" i="2"/>
  <c r="A101" i="2"/>
  <c r="A102" i="2"/>
  <c r="A103" i="2"/>
  <c r="A104" i="2"/>
  <c r="A105" i="2"/>
  <c r="A106" i="2"/>
  <c r="A107" i="2"/>
  <c r="A108" i="2"/>
  <c r="A109" i="2"/>
  <c r="A110" i="2"/>
  <c r="A111" i="2"/>
  <c r="A112" i="2"/>
  <c r="A113" i="2"/>
  <c r="A114" i="2"/>
  <c r="A115" i="2"/>
  <c r="A116" i="2"/>
  <c r="A117" i="2"/>
  <c r="A118" i="2"/>
  <c r="A119" i="2"/>
  <c r="A120" i="2"/>
  <c r="A121" i="2"/>
  <c r="A122" i="2"/>
  <c r="A123" i="2"/>
  <c r="A124" i="2"/>
  <c r="A125" i="2"/>
  <c r="A126" i="2"/>
  <c r="A127" i="2"/>
  <c r="A128" i="2"/>
  <c r="A129" i="2"/>
  <c r="A130" i="2"/>
  <c r="A131" i="2"/>
  <c r="A132" i="2"/>
  <c r="A133" i="2"/>
  <c r="A134" i="2"/>
  <c r="A135" i="2"/>
  <c r="A136" i="2"/>
  <c r="A137" i="2"/>
  <c r="A138" i="2"/>
  <c r="A139" i="2"/>
  <c r="A140" i="2"/>
  <c r="A141" i="2"/>
  <c r="A142" i="2"/>
  <c r="A143" i="2"/>
  <c r="A144" i="2"/>
  <c r="A145" i="2"/>
  <c r="A146" i="2"/>
  <c r="A147" i="2"/>
  <c r="A148" i="2"/>
  <c r="A149" i="2"/>
  <c r="A150" i="2"/>
  <c r="A151" i="2"/>
  <c r="A152" i="2"/>
  <c r="A153" i="2"/>
  <c r="A154" i="2"/>
  <c r="A155" i="2"/>
  <c r="A156" i="2"/>
  <c r="A157" i="2"/>
  <c r="A158" i="2"/>
  <c r="A159" i="2"/>
  <c r="A160" i="2"/>
  <c r="A161" i="2"/>
  <c r="A162" i="2"/>
  <c r="A163" i="2"/>
  <c r="A164" i="2"/>
  <c r="A165" i="2"/>
  <c r="A166" i="2"/>
  <c r="A167" i="2"/>
  <c r="A168" i="2"/>
  <c r="A169" i="2"/>
  <c r="A170" i="2"/>
  <c r="A171" i="2"/>
  <c r="A172" i="2"/>
  <c r="A173" i="2"/>
  <c r="A174" i="2"/>
  <c r="A175" i="2"/>
  <c r="A176" i="2"/>
  <c r="A177" i="2"/>
  <c r="A178" i="2"/>
  <c r="A179" i="2"/>
  <c r="A180" i="2"/>
  <c r="A181" i="2"/>
  <c r="A182" i="2"/>
  <c r="A183" i="2"/>
  <c r="A184" i="2"/>
  <c r="A185" i="2"/>
  <c r="A186" i="2"/>
  <c r="A187" i="2"/>
  <c r="A188" i="2"/>
  <c r="A189" i="2"/>
  <c r="A190" i="2"/>
  <c r="A191" i="2"/>
  <c r="A192" i="2"/>
  <c r="A193" i="2"/>
  <c r="A194" i="2"/>
  <c r="A195" i="2"/>
  <c r="A196" i="2"/>
  <c r="A197" i="2"/>
  <c r="A198" i="2"/>
  <c r="A199" i="2"/>
  <c r="A200" i="2"/>
  <c r="A201" i="2"/>
  <c r="A202" i="2"/>
  <c r="A203" i="2"/>
  <c r="A204" i="2"/>
  <c r="A205" i="2"/>
  <c r="A206" i="2"/>
  <c r="A207" i="2"/>
  <c r="A208" i="2"/>
  <c r="A209" i="2"/>
  <c r="A210" i="2"/>
  <c r="A211" i="2"/>
  <c r="A212" i="2"/>
  <c r="A213" i="2"/>
  <c r="A214" i="2"/>
  <c r="A215" i="2"/>
  <c r="A216" i="2"/>
  <c r="A217" i="2"/>
  <c r="A218" i="2"/>
  <c r="A219" i="2"/>
  <c r="A220" i="2"/>
  <c r="A221" i="2"/>
  <c r="A222" i="2"/>
  <c r="A223" i="2"/>
  <c r="A224" i="2"/>
  <c r="A225" i="2"/>
  <c r="A226" i="2"/>
  <c r="A227" i="2"/>
  <c r="A228" i="2"/>
  <c r="A229" i="2"/>
  <c r="A230" i="2"/>
  <c r="A231" i="2"/>
  <c r="A232" i="2"/>
  <c r="A233" i="2"/>
  <c r="A234" i="2"/>
  <c r="A235" i="2"/>
  <c r="A236" i="2"/>
  <c r="A237" i="2"/>
  <c r="A238" i="2"/>
  <c r="A239" i="2"/>
  <c r="A240" i="2"/>
  <c r="A241" i="2"/>
  <c r="A242" i="2"/>
  <c r="A243" i="2"/>
  <c r="A244" i="2"/>
  <c r="A245" i="2"/>
  <c r="A246" i="2"/>
  <c r="A247" i="2"/>
  <c r="A248" i="2"/>
  <c r="A249" i="2"/>
  <c r="A250" i="2"/>
  <c r="A251" i="2"/>
  <c r="A252" i="2"/>
  <c r="A253" i="2"/>
  <c r="A254" i="2"/>
  <c r="A255" i="2"/>
  <c r="A256" i="2"/>
  <c r="A257" i="2"/>
  <c r="A258" i="2"/>
  <c r="A259" i="2"/>
  <c r="A260" i="2"/>
  <c r="A261" i="2"/>
  <c r="A262" i="2"/>
  <c r="A263" i="2"/>
  <c r="A264" i="2"/>
  <c r="A265" i="2"/>
  <c r="A266" i="2"/>
  <c r="A267" i="2"/>
  <c r="A268" i="2"/>
  <c r="A269" i="2"/>
  <c r="A270" i="2"/>
  <c r="A271" i="2"/>
  <c r="A272" i="2"/>
  <c r="A273" i="2"/>
  <c r="A274" i="2"/>
  <c r="A275" i="2"/>
  <c r="A276" i="2"/>
  <c r="A277" i="2"/>
  <c r="A278" i="2"/>
  <c r="A279" i="2"/>
  <c r="A280" i="2"/>
  <c r="A281" i="2"/>
  <c r="A282" i="2"/>
  <c r="A283" i="2"/>
  <c r="A284" i="2"/>
  <c r="A285" i="2"/>
  <c r="A286" i="2"/>
  <c r="A287" i="2"/>
  <c r="A288" i="2"/>
  <c r="A289" i="2"/>
  <c r="A290" i="2"/>
  <c r="A291" i="2"/>
  <c r="A292" i="2"/>
  <c r="A293" i="2"/>
  <c r="A294" i="2"/>
  <c r="A295" i="2"/>
  <c r="A296" i="2"/>
  <c r="A297" i="2"/>
  <c r="A298" i="2"/>
  <c r="A299" i="2"/>
  <c r="A300" i="2"/>
  <c r="A2" i="2"/>
  <c r="G54" i="2" l="1"/>
  <c r="G182" i="2"/>
  <c r="G246" i="2"/>
  <c r="G214" i="2"/>
  <c r="G118" i="2"/>
  <c r="G86" i="2"/>
  <c r="G294" i="2"/>
  <c r="G290" i="2"/>
  <c r="G278" i="2"/>
  <c r="G274" i="2"/>
  <c r="G262" i="2"/>
  <c r="G258" i="2"/>
  <c r="G242" i="2"/>
  <c r="G230" i="2"/>
  <c r="G226" i="2"/>
  <c r="G210" i="2"/>
  <c r="G198" i="2"/>
  <c r="G194" i="2"/>
  <c r="G178" i="2"/>
  <c r="G166" i="2"/>
  <c r="G162" i="2"/>
  <c r="G150" i="2"/>
  <c r="G146" i="2"/>
  <c r="G134" i="2"/>
  <c r="G130" i="2"/>
  <c r="G114" i="2"/>
  <c r="G102" i="2"/>
  <c r="G98" i="2"/>
  <c r="G22" i="2"/>
  <c r="G82" i="2"/>
  <c r="G70" i="2"/>
  <c r="G66" i="2"/>
  <c r="G50" i="2"/>
  <c r="G38" i="2"/>
  <c r="G34" i="2"/>
  <c r="G18" i="2"/>
  <c r="G6" i="2"/>
  <c r="G298" i="2"/>
  <c r="G286" i="2"/>
  <c r="G282" i="2"/>
  <c r="G270" i="2"/>
  <c r="G266" i="2"/>
  <c r="G254" i="2"/>
  <c r="G250" i="2"/>
  <c r="G238" i="2"/>
  <c r="G234" i="2"/>
  <c r="G222" i="2"/>
  <c r="G218" i="2"/>
  <c r="G206" i="2"/>
  <c r="G202" i="2"/>
  <c r="G190" i="2"/>
  <c r="G186" i="2"/>
  <c r="G174" i="2"/>
  <c r="G170" i="2"/>
  <c r="G158" i="2"/>
  <c r="G154" i="2"/>
  <c r="G142" i="2"/>
  <c r="G138" i="2"/>
  <c r="G126" i="2"/>
  <c r="G122" i="2"/>
  <c r="G110" i="2"/>
  <c r="G106" i="2"/>
  <c r="G94" i="2"/>
  <c r="G90" i="2"/>
  <c r="G78" i="2"/>
  <c r="G74" i="2"/>
  <c r="G62" i="2"/>
  <c r="G58" i="2"/>
  <c r="G46" i="2"/>
  <c r="G42" i="2"/>
  <c r="G30" i="2"/>
  <c r="G26" i="2"/>
  <c r="G14" i="2"/>
  <c r="G10" i="2"/>
  <c r="G297" i="2"/>
  <c r="G33" i="2"/>
  <c r="G29" i="2"/>
  <c r="G25" i="2"/>
  <c r="G21" i="2"/>
  <c r="G17" i="2"/>
  <c r="G13" i="2"/>
  <c r="G9" i="2"/>
  <c r="G5" i="2"/>
  <c r="G36" i="2"/>
  <c r="G28" i="2"/>
  <c r="G16" i="2"/>
  <c r="G4" i="2"/>
  <c r="G40" i="2"/>
  <c r="G32" i="2"/>
  <c r="G24" i="2"/>
  <c r="G20" i="2"/>
  <c r="G12" i="2"/>
  <c r="G8" i="2"/>
  <c r="G2" i="2"/>
  <c r="N2" i="2" s="1"/>
  <c r="E37" i="2"/>
  <c r="K37" i="2" s="1"/>
  <c r="E293" i="2"/>
  <c r="E285" i="2"/>
  <c r="K285" i="2" s="1"/>
  <c r="E277" i="2"/>
  <c r="K277" i="2" s="1"/>
  <c r="E261" i="2"/>
  <c r="K261" i="2" s="1"/>
  <c r="E253" i="2"/>
  <c r="E241" i="2"/>
  <c r="G241" i="2" s="1"/>
  <c r="E233" i="2"/>
  <c r="G233" i="2" s="1"/>
  <c r="E225" i="2"/>
  <c r="E217" i="2"/>
  <c r="E205" i="2"/>
  <c r="K205" i="2" s="1"/>
  <c r="E197" i="2"/>
  <c r="K197" i="2" s="1"/>
  <c r="E189" i="2"/>
  <c r="K189" i="2" s="1"/>
  <c r="E181" i="2"/>
  <c r="E169" i="2"/>
  <c r="K169" i="2" s="1"/>
  <c r="E161" i="2"/>
  <c r="K161" i="2" s="1"/>
  <c r="E153" i="2"/>
  <c r="K153" i="2" s="1"/>
  <c r="E145" i="2"/>
  <c r="E137" i="2"/>
  <c r="K137" i="2" s="1"/>
  <c r="E129" i="2"/>
  <c r="K129" i="2" s="1"/>
  <c r="E117" i="2"/>
  <c r="K117" i="2" s="1"/>
  <c r="E109" i="2"/>
  <c r="E101" i="2"/>
  <c r="K101" i="2" s="1"/>
  <c r="E93" i="2"/>
  <c r="K93" i="2" s="1"/>
  <c r="E81" i="2"/>
  <c r="E73" i="2"/>
  <c r="E65" i="2"/>
  <c r="K65" i="2" s="1"/>
  <c r="E53" i="2"/>
  <c r="K53" i="2" s="1"/>
  <c r="E300" i="2"/>
  <c r="G300" i="2" s="1"/>
  <c r="E292" i="2"/>
  <c r="E284" i="2"/>
  <c r="K284" i="2" s="1"/>
  <c r="E276" i="2"/>
  <c r="G276" i="2" s="1"/>
  <c r="E268" i="2"/>
  <c r="K268" i="2" s="1"/>
  <c r="E256" i="2"/>
  <c r="K256" i="2" s="1"/>
  <c r="E248" i="2"/>
  <c r="K248" i="2" s="1"/>
  <c r="E240" i="2"/>
  <c r="K240" i="2" s="1"/>
  <c r="E232" i="2"/>
  <c r="K232" i="2" s="1"/>
  <c r="E224" i="2"/>
  <c r="E216" i="2"/>
  <c r="K216" i="2" s="1"/>
  <c r="E204" i="2"/>
  <c r="K204" i="2" s="1"/>
  <c r="E196" i="2"/>
  <c r="K196" i="2" s="1"/>
  <c r="E188" i="2"/>
  <c r="E180" i="2"/>
  <c r="K180" i="2" s="1"/>
  <c r="E172" i="2"/>
  <c r="K172" i="2" s="1"/>
  <c r="E164" i="2"/>
  <c r="K164" i="2" s="1"/>
  <c r="E156" i="2"/>
  <c r="E144" i="2"/>
  <c r="G144" i="2" s="1"/>
  <c r="E136" i="2"/>
  <c r="K136" i="2" s="1"/>
  <c r="E128" i="2"/>
  <c r="K128" i="2" s="1"/>
  <c r="E120" i="2"/>
  <c r="E108" i="2"/>
  <c r="K108" i="2" s="1"/>
  <c r="E100" i="2"/>
  <c r="G100" i="2" s="1"/>
  <c r="E92" i="2"/>
  <c r="G92" i="2" s="1"/>
  <c r="E84" i="2"/>
  <c r="E72" i="2"/>
  <c r="K72" i="2" s="1"/>
  <c r="E64" i="2"/>
  <c r="K64" i="2" s="1"/>
  <c r="E56" i="2"/>
  <c r="K56" i="2" s="1"/>
  <c r="E48" i="2"/>
  <c r="K48" i="2" s="1"/>
  <c r="K297" i="2"/>
  <c r="E269" i="2"/>
  <c r="K269" i="2" s="1"/>
  <c r="E249" i="2"/>
  <c r="G249" i="2" s="1"/>
  <c r="E245" i="2"/>
  <c r="E237" i="2"/>
  <c r="K237" i="2" s="1"/>
  <c r="E229" i="2"/>
  <c r="K229" i="2" s="1"/>
  <c r="E221" i="2"/>
  <c r="K221" i="2" s="1"/>
  <c r="E213" i="2"/>
  <c r="E209" i="2"/>
  <c r="G209" i="2" s="1"/>
  <c r="E201" i="2"/>
  <c r="G201" i="2" s="1"/>
  <c r="E193" i="2"/>
  <c r="E185" i="2"/>
  <c r="K185" i="2" s="1"/>
  <c r="E177" i="2"/>
  <c r="K177" i="2" s="1"/>
  <c r="E173" i="2"/>
  <c r="K173" i="2" s="1"/>
  <c r="E165" i="2"/>
  <c r="E157" i="2"/>
  <c r="E149" i="2"/>
  <c r="E141" i="2"/>
  <c r="K141" i="2" s="1"/>
  <c r="E133" i="2"/>
  <c r="E125" i="2"/>
  <c r="E121" i="2"/>
  <c r="G121" i="2" s="1"/>
  <c r="E113" i="2"/>
  <c r="K113" i="2" s="1"/>
  <c r="E105" i="2"/>
  <c r="G105" i="2" s="1"/>
  <c r="E97" i="2"/>
  <c r="E89" i="2"/>
  <c r="G89" i="2" s="1"/>
  <c r="E85" i="2"/>
  <c r="K85" i="2" s="1"/>
  <c r="E77" i="2"/>
  <c r="K77" i="2" s="1"/>
  <c r="E69" i="2"/>
  <c r="E61" i="2"/>
  <c r="K61" i="2" s="1"/>
  <c r="E57" i="2"/>
  <c r="K57" i="2" s="1"/>
  <c r="E49" i="2"/>
  <c r="E45" i="2"/>
  <c r="E41" i="2"/>
  <c r="G41" i="2" s="1"/>
  <c r="E296" i="2"/>
  <c r="K296" i="2" s="1"/>
  <c r="E288" i="2"/>
  <c r="E280" i="2"/>
  <c r="E272" i="2"/>
  <c r="G272" i="2" s="1"/>
  <c r="E264" i="2"/>
  <c r="E260" i="2"/>
  <c r="E252" i="2"/>
  <c r="E244" i="2"/>
  <c r="G244" i="2" s="1"/>
  <c r="E236" i="2"/>
  <c r="K236" i="2" s="1"/>
  <c r="E228" i="2"/>
  <c r="G228" i="2" s="1"/>
  <c r="E220" i="2"/>
  <c r="E212" i="2"/>
  <c r="E208" i="2"/>
  <c r="G208" i="2" s="1"/>
  <c r="E200" i="2"/>
  <c r="K200" i="2" s="1"/>
  <c r="E192" i="2"/>
  <c r="E184" i="2"/>
  <c r="K184" i="2" s="1"/>
  <c r="E176" i="2"/>
  <c r="G176" i="2" s="1"/>
  <c r="E168" i="2"/>
  <c r="K168" i="2" s="1"/>
  <c r="E160" i="2"/>
  <c r="E152" i="2"/>
  <c r="K152" i="2" s="1"/>
  <c r="E148" i="2"/>
  <c r="K148" i="2" s="1"/>
  <c r="E140" i="2"/>
  <c r="K140" i="2" s="1"/>
  <c r="E132" i="2"/>
  <c r="E124" i="2"/>
  <c r="K124" i="2" s="1"/>
  <c r="E116" i="2"/>
  <c r="E112" i="2"/>
  <c r="E104" i="2"/>
  <c r="E96" i="2"/>
  <c r="E88" i="2"/>
  <c r="K88" i="2" s="1"/>
  <c r="E80" i="2"/>
  <c r="K80" i="2" s="1"/>
  <c r="E76" i="2"/>
  <c r="E68" i="2"/>
  <c r="G68" i="2" s="1"/>
  <c r="E60" i="2"/>
  <c r="K60" i="2" s="1"/>
  <c r="E52" i="2"/>
  <c r="E44" i="2"/>
  <c r="E281" i="2"/>
  <c r="G281" i="2" s="1"/>
  <c r="E265" i="2"/>
  <c r="G265" i="2" s="1"/>
  <c r="E289" i="2"/>
  <c r="K289" i="2" s="1"/>
  <c r="E273" i="2"/>
  <c r="E257" i="2"/>
  <c r="K257" i="2" s="1"/>
  <c r="E299" i="2"/>
  <c r="K299" i="2" s="1"/>
  <c r="E295" i="2"/>
  <c r="K295" i="2" s="1"/>
  <c r="E291" i="2"/>
  <c r="E287" i="2"/>
  <c r="G287" i="2" s="1"/>
  <c r="E283" i="2"/>
  <c r="K283" i="2" s="1"/>
  <c r="E279" i="2"/>
  <c r="K279" i="2" s="1"/>
  <c r="E275" i="2"/>
  <c r="E271" i="2"/>
  <c r="G271" i="2" s="1"/>
  <c r="E267" i="2"/>
  <c r="K267" i="2" s="1"/>
  <c r="E263" i="2"/>
  <c r="K263" i="2" s="1"/>
  <c r="E259" i="2"/>
  <c r="E255" i="2"/>
  <c r="G255" i="2" s="1"/>
  <c r="E251" i="2"/>
  <c r="K251" i="2" s="1"/>
  <c r="E247" i="2"/>
  <c r="K247" i="2" s="1"/>
  <c r="E243" i="2"/>
  <c r="E239" i="2"/>
  <c r="G239" i="2" s="1"/>
  <c r="E235" i="2"/>
  <c r="K235" i="2" s="1"/>
  <c r="E231" i="2"/>
  <c r="K231" i="2" s="1"/>
  <c r="E227" i="2"/>
  <c r="E223" i="2"/>
  <c r="G223" i="2" s="1"/>
  <c r="E219" i="2"/>
  <c r="E215" i="2"/>
  <c r="K215" i="2" s="1"/>
  <c r="E211" i="2"/>
  <c r="E207" i="2"/>
  <c r="G207" i="2" s="1"/>
  <c r="E203" i="2"/>
  <c r="K203" i="2" s="1"/>
  <c r="E199" i="2"/>
  <c r="K199" i="2" s="1"/>
  <c r="E195" i="2"/>
  <c r="E191" i="2"/>
  <c r="G191" i="2" s="1"/>
  <c r="E187" i="2"/>
  <c r="K187" i="2" s="1"/>
  <c r="E183" i="2"/>
  <c r="K183" i="2" s="1"/>
  <c r="E179" i="2"/>
  <c r="E175" i="2"/>
  <c r="G175" i="2" s="1"/>
  <c r="E171" i="2"/>
  <c r="K171" i="2" s="1"/>
  <c r="E167" i="2"/>
  <c r="K167" i="2" s="1"/>
  <c r="E163" i="2"/>
  <c r="E159" i="2"/>
  <c r="G159" i="2" s="1"/>
  <c r="E155" i="2"/>
  <c r="K155" i="2" s="1"/>
  <c r="E151" i="2"/>
  <c r="K151" i="2" s="1"/>
  <c r="E147" i="2"/>
  <c r="E143" i="2"/>
  <c r="G143" i="2" s="1"/>
  <c r="E139" i="2"/>
  <c r="K139" i="2" s="1"/>
  <c r="E135" i="2"/>
  <c r="K135" i="2" s="1"/>
  <c r="E131" i="2"/>
  <c r="E127" i="2"/>
  <c r="G127" i="2" s="1"/>
  <c r="E123" i="2"/>
  <c r="G123" i="2" s="1"/>
  <c r="E119" i="2"/>
  <c r="K119" i="2" s="1"/>
  <c r="E115" i="2"/>
  <c r="E111" i="2"/>
  <c r="G111" i="2" s="1"/>
  <c r="E107" i="2"/>
  <c r="K107" i="2" s="1"/>
  <c r="E103" i="2"/>
  <c r="K103" i="2" s="1"/>
  <c r="E99" i="2"/>
  <c r="E95" i="2"/>
  <c r="G95" i="2" s="1"/>
  <c r="E91" i="2"/>
  <c r="K91" i="2" s="1"/>
  <c r="E87" i="2"/>
  <c r="K87" i="2" s="1"/>
  <c r="E83" i="2"/>
  <c r="E79" i="2"/>
  <c r="G79" i="2" s="1"/>
  <c r="E75" i="2"/>
  <c r="K75" i="2" s="1"/>
  <c r="E71" i="2"/>
  <c r="K71" i="2" s="1"/>
  <c r="E67" i="2"/>
  <c r="E63" i="2"/>
  <c r="G63" i="2" s="1"/>
  <c r="E59" i="2"/>
  <c r="K59" i="2" s="1"/>
  <c r="E55" i="2"/>
  <c r="K55" i="2" s="1"/>
  <c r="E51" i="2"/>
  <c r="E47" i="2"/>
  <c r="E43" i="2"/>
  <c r="E39" i="2"/>
  <c r="K39" i="2" s="1"/>
  <c r="E35" i="2"/>
  <c r="K35" i="2" s="1"/>
  <c r="E31" i="2"/>
  <c r="E27" i="2"/>
  <c r="K27" i="2" s="1"/>
  <c r="E23" i="2"/>
  <c r="K23" i="2" s="1"/>
  <c r="E19" i="2"/>
  <c r="K19" i="2" s="1"/>
  <c r="E15" i="2"/>
  <c r="E11" i="2"/>
  <c r="K11" i="2" s="1"/>
  <c r="E7" i="2"/>
  <c r="K7" i="2" s="1"/>
  <c r="E3" i="2"/>
  <c r="K3" i="2" s="1"/>
  <c r="K298" i="2"/>
  <c r="K294" i="2"/>
  <c r="K290" i="2"/>
  <c r="K286" i="2"/>
  <c r="K282" i="2"/>
  <c r="K278" i="2"/>
  <c r="K274" i="2"/>
  <c r="K270" i="2"/>
  <c r="K266" i="2"/>
  <c r="K262" i="2"/>
  <c r="K258" i="2"/>
  <c r="K254" i="2"/>
  <c r="K250" i="2"/>
  <c r="K246" i="2"/>
  <c r="K242" i="2"/>
  <c r="K238" i="2"/>
  <c r="K234" i="2"/>
  <c r="K230" i="2"/>
  <c r="K226" i="2"/>
  <c r="K222" i="2"/>
  <c r="K218" i="2"/>
  <c r="K214" i="2"/>
  <c r="K210" i="2"/>
  <c r="K206" i="2"/>
  <c r="K202" i="2"/>
  <c r="K198" i="2"/>
  <c r="K194" i="2"/>
  <c r="K190" i="2"/>
  <c r="K186" i="2"/>
  <c r="K182" i="2"/>
  <c r="K178" i="2"/>
  <c r="K174" i="2"/>
  <c r="K170" i="2"/>
  <c r="K166" i="2"/>
  <c r="K162" i="2"/>
  <c r="K158" i="2"/>
  <c r="K154" i="2"/>
  <c r="K150" i="2"/>
  <c r="K146" i="2"/>
  <c r="K142" i="2"/>
  <c r="K138" i="2"/>
  <c r="K134" i="2"/>
  <c r="K130" i="2"/>
  <c r="K126" i="2"/>
  <c r="K122" i="2"/>
  <c r="K118" i="2"/>
  <c r="K114" i="2"/>
  <c r="K110" i="2"/>
  <c r="K106" i="2"/>
  <c r="K102" i="2"/>
  <c r="K98" i="2"/>
  <c r="K94" i="2"/>
  <c r="K90" i="2"/>
  <c r="K86" i="2"/>
  <c r="K82" i="2"/>
  <c r="K78" i="2"/>
  <c r="K74" i="2"/>
  <c r="K70" i="2"/>
  <c r="K66" i="2"/>
  <c r="K62" i="2"/>
  <c r="K58" i="2"/>
  <c r="K54" i="2"/>
  <c r="K50" i="2"/>
  <c r="K46" i="2"/>
  <c r="K42" i="2"/>
  <c r="K38" i="2"/>
  <c r="K34" i="2"/>
  <c r="K30" i="2"/>
  <c r="K26" i="2"/>
  <c r="K22" i="2"/>
  <c r="K18" i="2"/>
  <c r="K14" i="2"/>
  <c r="K10" i="2"/>
  <c r="K6" i="2"/>
  <c r="K33" i="2"/>
  <c r="K29" i="2"/>
  <c r="K25" i="2"/>
  <c r="K21" i="2"/>
  <c r="K17" i="2"/>
  <c r="K13" i="2"/>
  <c r="K9" i="2"/>
  <c r="K5" i="2"/>
  <c r="K40" i="2"/>
  <c r="K36" i="2"/>
  <c r="K32" i="2"/>
  <c r="K28" i="2"/>
  <c r="K24" i="2"/>
  <c r="K20" i="2"/>
  <c r="K16" i="2"/>
  <c r="K12" i="2"/>
  <c r="K8" i="2"/>
  <c r="K4" i="2"/>
  <c r="K2" i="2"/>
  <c r="L12" i="2" l="1"/>
  <c r="N12" i="2"/>
  <c r="L36" i="2"/>
  <c r="N36" i="2"/>
  <c r="L33" i="2"/>
  <c r="N33" i="2"/>
  <c r="L58" i="2"/>
  <c r="N58" i="2"/>
  <c r="L122" i="2"/>
  <c r="N122" i="2"/>
  <c r="L186" i="2"/>
  <c r="N186" i="2"/>
  <c r="L250" i="2"/>
  <c r="N250" i="2"/>
  <c r="L18" i="2"/>
  <c r="N18" i="2"/>
  <c r="L98" i="2"/>
  <c r="N98" i="2"/>
  <c r="L166" i="2"/>
  <c r="N166" i="2"/>
  <c r="L210" i="2"/>
  <c r="N210" i="2"/>
  <c r="L258" i="2"/>
  <c r="N258" i="2"/>
  <c r="L214" i="2"/>
  <c r="N214" i="2"/>
  <c r="L105" i="2"/>
  <c r="N105" i="2"/>
  <c r="L4" i="2"/>
  <c r="N4" i="2"/>
  <c r="L21" i="2"/>
  <c r="N21" i="2"/>
  <c r="L30" i="2"/>
  <c r="N30" i="2"/>
  <c r="L94" i="2"/>
  <c r="N94" i="2"/>
  <c r="L158" i="2"/>
  <c r="N158" i="2"/>
  <c r="L222" i="2"/>
  <c r="N222" i="2"/>
  <c r="L254" i="2"/>
  <c r="N254" i="2"/>
  <c r="L34" i="2"/>
  <c r="N34" i="2"/>
  <c r="L102" i="2"/>
  <c r="N102" i="2"/>
  <c r="L146" i="2"/>
  <c r="N146" i="2"/>
  <c r="L226" i="2"/>
  <c r="N226" i="2"/>
  <c r="L262" i="2"/>
  <c r="N262" i="2"/>
  <c r="L294" i="2"/>
  <c r="N294" i="2"/>
  <c r="L123" i="2"/>
  <c r="N123" i="2"/>
  <c r="L265" i="2"/>
  <c r="N265" i="2"/>
  <c r="L176" i="2"/>
  <c r="N176" i="2"/>
  <c r="L208" i="2"/>
  <c r="N208" i="2"/>
  <c r="L201" i="2"/>
  <c r="N201" i="2"/>
  <c r="L100" i="2"/>
  <c r="N100" i="2"/>
  <c r="L276" i="2"/>
  <c r="N276" i="2"/>
  <c r="L233" i="2"/>
  <c r="N233" i="2"/>
  <c r="L24" i="2"/>
  <c r="N24" i="2"/>
  <c r="L16" i="2"/>
  <c r="N16" i="2"/>
  <c r="L9" i="2"/>
  <c r="N9" i="2"/>
  <c r="L25" i="2"/>
  <c r="N25" i="2"/>
  <c r="L10" i="2"/>
  <c r="N10" i="2"/>
  <c r="L42" i="2"/>
  <c r="N42" i="2"/>
  <c r="L74" i="2"/>
  <c r="N74" i="2"/>
  <c r="L106" i="2"/>
  <c r="N106" i="2"/>
  <c r="L138" i="2"/>
  <c r="N138" i="2"/>
  <c r="L170" i="2"/>
  <c r="N170" i="2"/>
  <c r="L202" i="2"/>
  <c r="N202" i="2"/>
  <c r="L234" i="2"/>
  <c r="N234" i="2"/>
  <c r="L266" i="2"/>
  <c r="N266" i="2"/>
  <c r="L298" i="2"/>
  <c r="N298" i="2"/>
  <c r="L38" i="2"/>
  <c r="N38" i="2"/>
  <c r="L82" i="2"/>
  <c r="N82" i="2"/>
  <c r="L114" i="2"/>
  <c r="N114" i="2"/>
  <c r="L150" i="2"/>
  <c r="N150" i="2"/>
  <c r="L194" i="2"/>
  <c r="N194" i="2"/>
  <c r="L230" i="2"/>
  <c r="N230" i="2"/>
  <c r="L274" i="2"/>
  <c r="N274" i="2"/>
  <c r="L86" i="2"/>
  <c r="N86" i="2"/>
  <c r="L182" i="2"/>
  <c r="N182" i="2"/>
  <c r="L40" i="2"/>
  <c r="N40" i="2"/>
  <c r="L17" i="2"/>
  <c r="N17" i="2"/>
  <c r="L26" i="2"/>
  <c r="N26" i="2"/>
  <c r="L90" i="2"/>
  <c r="N90" i="2"/>
  <c r="L154" i="2"/>
  <c r="N154" i="2"/>
  <c r="L218" i="2"/>
  <c r="N218" i="2"/>
  <c r="L282" i="2"/>
  <c r="N282" i="2"/>
  <c r="L66" i="2"/>
  <c r="N66" i="2"/>
  <c r="L134" i="2"/>
  <c r="N134" i="2"/>
  <c r="L290" i="2"/>
  <c r="N290" i="2"/>
  <c r="L228" i="2"/>
  <c r="N228" i="2"/>
  <c r="L249" i="2"/>
  <c r="N249" i="2"/>
  <c r="L92" i="2"/>
  <c r="N92" i="2"/>
  <c r="L300" i="2"/>
  <c r="N300" i="2"/>
  <c r="L20" i="2"/>
  <c r="N20" i="2"/>
  <c r="L5" i="2"/>
  <c r="N5" i="2"/>
  <c r="L297" i="2"/>
  <c r="N297" i="2"/>
  <c r="L62" i="2"/>
  <c r="N62" i="2"/>
  <c r="L126" i="2"/>
  <c r="N126" i="2"/>
  <c r="L190" i="2"/>
  <c r="N190" i="2"/>
  <c r="L286" i="2"/>
  <c r="N286" i="2"/>
  <c r="L70" i="2"/>
  <c r="N70" i="2"/>
  <c r="L178" i="2"/>
  <c r="N178" i="2"/>
  <c r="L246" i="2"/>
  <c r="N246" i="2"/>
  <c r="L63" i="2"/>
  <c r="N63" i="2"/>
  <c r="L79" i="2"/>
  <c r="N79" i="2"/>
  <c r="L95" i="2"/>
  <c r="N95" i="2"/>
  <c r="L111" i="2"/>
  <c r="N111" i="2"/>
  <c r="L127" i="2"/>
  <c r="N127" i="2"/>
  <c r="L143" i="2"/>
  <c r="N143" i="2"/>
  <c r="L159" i="2"/>
  <c r="N159" i="2"/>
  <c r="L175" i="2"/>
  <c r="N175" i="2"/>
  <c r="L191" i="2"/>
  <c r="N191" i="2"/>
  <c r="L207" i="2"/>
  <c r="N207" i="2"/>
  <c r="L223" i="2"/>
  <c r="N223" i="2"/>
  <c r="L239" i="2"/>
  <c r="N239" i="2"/>
  <c r="L255" i="2"/>
  <c r="N255" i="2"/>
  <c r="L271" i="2"/>
  <c r="N271" i="2"/>
  <c r="L287" i="2"/>
  <c r="N287" i="2"/>
  <c r="L281" i="2"/>
  <c r="N281" i="2"/>
  <c r="L68" i="2"/>
  <c r="N68" i="2"/>
  <c r="L244" i="2"/>
  <c r="N244" i="2"/>
  <c r="L272" i="2"/>
  <c r="N272" i="2"/>
  <c r="L41" i="2"/>
  <c r="N41" i="2"/>
  <c r="L89" i="2"/>
  <c r="N89" i="2"/>
  <c r="L121" i="2"/>
  <c r="N121" i="2"/>
  <c r="L209" i="2"/>
  <c r="N209" i="2"/>
  <c r="L144" i="2"/>
  <c r="N144" i="2"/>
  <c r="L241" i="2"/>
  <c r="N241" i="2"/>
  <c r="L8" i="2"/>
  <c r="N8" i="2"/>
  <c r="L32" i="2"/>
  <c r="N32" i="2"/>
  <c r="L28" i="2"/>
  <c r="N28" i="2"/>
  <c r="L13" i="2"/>
  <c r="N13" i="2"/>
  <c r="L29" i="2"/>
  <c r="N29" i="2"/>
  <c r="L14" i="2"/>
  <c r="N14" i="2"/>
  <c r="L46" i="2"/>
  <c r="N46" i="2"/>
  <c r="L78" i="2"/>
  <c r="N78" i="2"/>
  <c r="L110" i="2"/>
  <c r="N110" i="2"/>
  <c r="L142" i="2"/>
  <c r="N142" i="2"/>
  <c r="L174" i="2"/>
  <c r="N174" i="2"/>
  <c r="L206" i="2"/>
  <c r="N206" i="2"/>
  <c r="L238" i="2"/>
  <c r="N238" i="2"/>
  <c r="L270" i="2"/>
  <c r="N270" i="2"/>
  <c r="L6" i="2"/>
  <c r="N6" i="2"/>
  <c r="L50" i="2"/>
  <c r="N50" i="2"/>
  <c r="L22" i="2"/>
  <c r="N22" i="2"/>
  <c r="L130" i="2"/>
  <c r="N130" i="2"/>
  <c r="L162" i="2"/>
  <c r="N162" i="2"/>
  <c r="L198" i="2"/>
  <c r="N198" i="2"/>
  <c r="L242" i="2"/>
  <c r="N242" i="2"/>
  <c r="L278" i="2"/>
  <c r="N278" i="2"/>
  <c r="L118" i="2"/>
  <c r="N118" i="2"/>
  <c r="L54" i="2"/>
  <c r="N54" i="2"/>
  <c r="L2" i="2"/>
  <c r="G169" i="2"/>
  <c r="G88" i="2"/>
  <c r="G267" i="2"/>
  <c r="G153" i="2"/>
  <c r="G295" i="2"/>
  <c r="G71" i="2"/>
  <c r="G135" i="2"/>
  <c r="G199" i="2"/>
  <c r="G164" i="2"/>
  <c r="G128" i="2"/>
  <c r="G87" i="2"/>
  <c r="G151" i="2"/>
  <c r="G215" i="2"/>
  <c r="G172" i="2"/>
  <c r="G103" i="2"/>
  <c r="G167" i="2"/>
  <c r="G235" i="2"/>
  <c r="G56" i="2"/>
  <c r="G240" i="2"/>
  <c r="G57" i="2"/>
  <c r="G137" i="2"/>
  <c r="G285" i="2"/>
  <c r="G39" i="2"/>
  <c r="G119" i="2"/>
  <c r="G183" i="2"/>
  <c r="G251" i="2"/>
  <c r="G108" i="2"/>
  <c r="K99" i="2"/>
  <c r="G99" i="2"/>
  <c r="K115" i="2"/>
  <c r="G115" i="2"/>
  <c r="K131" i="2"/>
  <c r="G131" i="2"/>
  <c r="K147" i="2"/>
  <c r="G147" i="2"/>
  <c r="K163" i="2"/>
  <c r="G163" i="2"/>
  <c r="K179" i="2"/>
  <c r="G179" i="2"/>
  <c r="K195" i="2"/>
  <c r="G195" i="2"/>
  <c r="K211" i="2"/>
  <c r="G211" i="2"/>
  <c r="K227" i="2"/>
  <c r="G227" i="2"/>
  <c r="G243" i="2"/>
  <c r="K259" i="2"/>
  <c r="G259" i="2"/>
  <c r="K275" i="2"/>
  <c r="G275" i="2"/>
  <c r="K291" i="2"/>
  <c r="G291" i="2"/>
  <c r="G273" i="2"/>
  <c r="G44" i="2"/>
  <c r="K76" i="2"/>
  <c r="G76" i="2"/>
  <c r="K104" i="2"/>
  <c r="G104" i="2"/>
  <c r="K132" i="2"/>
  <c r="G132" i="2"/>
  <c r="G160" i="2"/>
  <c r="K220" i="2"/>
  <c r="G220" i="2"/>
  <c r="K252" i="2"/>
  <c r="G252" i="2"/>
  <c r="K280" i="2"/>
  <c r="G280" i="2"/>
  <c r="K45" i="2"/>
  <c r="G45" i="2"/>
  <c r="K69" i="2"/>
  <c r="G69" i="2"/>
  <c r="K97" i="2"/>
  <c r="G97" i="2"/>
  <c r="K125" i="2"/>
  <c r="G125" i="2"/>
  <c r="K157" i="2"/>
  <c r="G157" i="2"/>
  <c r="K213" i="2"/>
  <c r="G213" i="2"/>
  <c r="G245" i="2"/>
  <c r="G84" i="2"/>
  <c r="K120" i="2"/>
  <c r="G120" i="2"/>
  <c r="K156" i="2"/>
  <c r="G156" i="2"/>
  <c r="K188" i="2"/>
  <c r="G188" i="2"/>
  <c r="K224" i="2"/>
  <c r="G224" i="2"/>
  <c r="G292" i="2"/>
  <c r="K109" i="2"/>
  <c r="G109" i="2"/>
  <c r="K145" i="2"/>
  <c r="G145" i="2"/>
  <c r="K181" i="2"/>
  <c r="G181" i="2"/>
  <c r="K253" i="2"/>
  <c r="G253" i="2"/>
  <c r="K293" i="2"/>
  <c r="G293" i="2"/>
  <c r="G185" i="2"/>
  <c r="G48" i="2"/>
  <c r="G192" i="2"/>
  <c r="G55" i="2"/>
  <c r="G256" i="2"/>
  <c r="K83" i="2"/>
  <c r="G83" i="2"/>
  <c r="G73" i="2"/>
  <c r="G7" i="2"/>
  <c r="K67" i="2"/>
  <c r="G67" i="2"/>
  <c r="G217" i="2"/>
  <c r="G23" i="2"/>
  <c r="G61" i="2"/>
  <c r="G77" i="2"/>
  <c r="G93" i="2"/>
  <c r="G141" i="2"/>
  <c r="G173" i="2"/>
  <c r="G189" i="2"/>
  <c r="G205" i="2"/>
  <c r="G221" i="2"/>
  <c r="G237" i="2"/>
  <c r="G269" i="2"/>
  <c r="G60" i="2"/>
  <c r="G140" i="2"/>
  <c r="G52" i="2"/>
  <c r="G204" i="2"/>
  <c r="G11" i="2"/>
  <c r="G27" i="2"/>
  <c r="G43" i="2"/>
  <c r="G59" i="2"/>
  <c r="G75" i="2"/>
  <c r="G91" i="2"/>
  <c r="G107" i="2"/>
  <c r="G139" i="2"/>
  <c r="G155" i="2"/>
  <c r="G171" i="2"/>
  <c r="G187" i="2"/>
  <c r="G203" i="2"/>
  <c r="G72" i="2"/>
  <c r="G124" i="2"/>
  <c r="G184" i="2"/>
  <c r="G260" i="2"/>
  <c r="G49" i="2"/>
  <c r="G65" i="2"/>
  <c r="G81" i="2"/>
  <c r="G113" i="2"/>
  <c r="G129" i="2"/>
  <c r="G161" i="2"/>
  <c r="G177" i="2"/>
  <c r="G193" i="2"/>
  <c r="G225" i="2"/>
  <c r="G257" i="2"/>
  <c r="G289" i="2"/>
  <c r="G112" i="2"/>
  <c r="G152" i="2"/>
  <c r="G219" i="2"/>
  <c r="G64" i="2"/>
  <c r="G116" i="2"/>
  <c r="G168" i="2"/>
  <c r="G216" i="2"/>
  <c r="G15" i="2"/>
  <c r="G31" i="2"/>
  <c r="G47" i="2"/>
  <c r="G299" i="2"/>
  <c r="G136" i="2"/>
  <c r="G200" i="2"/>
  <c r="G296" i="2"/>
  <c r="G248" i="2"/>
  <c r="G264" i="2"/>
  <c r="G284" i="2"/>
  <c r="G288" i="2"/>
  <c r="G37" i="2"/>
  <c r="G53" i="2"/>
  <c r="G85" i="2"/>
  <c r="G101" i="2"/>
  <c r="G117" i="2"/>
  <c r="G133" i="2"/>
  <c r="G149" i="2"/>
  <c r="G165" i="2"/>
  <c r="G197" i="2"/>
  <c r="G229" i="2"/>
  <c r="G261" i="2"/>
  <c r="G277" i="2"/>
  <c r="G80" i="2"/>
  <c r="G196" i="2"/>
  <c r="G283" i="2"/>
  <c r="G180" i="2"/>
  <c r="G3" i="2"/>
  <c r="G19" i="2"/>
  <c r="G35" i="2"/>
  <c r="G51" i="2"/>
  <c r="G231" i="2"/>
  <c r="G247" i="2"/>
  <c r="G263" i="2"/>
  <c r="G279" i="2"/>
  <c r="G96" i="2"/>
  <c r="G148" i="2"/>
  <c r="G212" i="2"/>
  <c r="G232" i="2"/>
  <c r="G268" i="2"/>
  <c r="G236" i="2"/>
  <c r="K123" i="2"/>
  <c r="K176" i="2"/>
  <c r="K241" i="2"/>
  <c r="K243" i="2"/>
  <c r="K44" i="2"/>
  <c r="K160" i="2"/>
  <c r="K81" i="2"/>
  <c r="K225" i="2"/>
  <c r="K219" i="2"/>
  <c r="K116" i="2"/>
  <c r="K201" i="2"/>
  <c r="K144" i="2"/>
  <c r="K51" i="2"/>
  <c r="K245" i="2"/>
  <c r="K273" i="2"/>
  <c r="K43" i="2"/>
  <c r="K264" i="2"/>
  <c r="K192" i="2"/>
  <c r="K92" i="2"/>
  <c r="K300" i="2"/>
  <c r="K208" i="2"/>
  <c r="K52" i="2"/>
  <c r="K68" i="2"/>
  <c r="K96" i="2"/>
  <c r="K112" i="2"/>
  <c r="K212" i="2"/>
  <c r="K228" i="2"/>
  <c r="K244" i="2"/>
  <c r="K260" i="2"/>
  <c r="K272" i="2"/>
  <c r="K288" i="2"/>
  <c r="K41" i="2"/>
  <c r="K49" i="2"/>
  <c r="K89" i="2"/>
  <c r="K105" i="2"/>
  <c r="K121" i="2"/>
  <c r="K133" i="2"/>
  <c r="K149" i="2"/>
  <c r="K165" i="2"/>
  <c r="K193" i="2"/>
  <c r="K209" i="2"/>
  <c r="K249" i="2"/>
  <c r="K265" i="2"/>
  <c r="K15" i="2"/>
  <c r="K31" i="2"/>
  <c r="K47" i="2"/>
  <c r="K63" i="2"/>
  <c r="K79" i="2"/>
  <c r="K95" i="2"/>
  <c r="K111" i="2"/>
  <c r="K127" i="2"/>
  <c r="K143" i="2"/>
  <c r="K159" i="2"/>
  <c r="K175" i="2"/>
  <c r="K191" i="2"/>
  <c r="K207" i="2"/>
  <c r="K223" i="2"/>
  <c r="K239" i="2"/>
  <c r="K255" i="2"/>
  <c r="K271" i="2"/>
  <c r="K287" i="2"/>
  <c r="K281" i="2"/>
  <c r="K84" i="2"/>
  <c r="K100" i="2"/>
  <c r="K276" i="2"/>
  <c r="K292" i="2"/>
  <c r="K73" i="2"/>
  <c r="K217" i="2"/>
  <c r="K233" i="2"/>
  <c r="L231" i="2" l="1"/>
  <c r="N231" i="2"/>
  <c r="L117" i="2"/>
  <c r="N117" i="2"/>
  <c r="L216" i="2"/>
  <c r="N216" i="2"/>
  <c r="L161" i="2"/>
  <c r="N161" i="2"/>
  <c r="L27" i="2"/>
  <c r="N27" i="2"/>
  <c r="L23" i="2"/>
  <c r="N23" i="2"/>
  <c r="L185" i="2"/>
  <c r="N185" i="2"/>
  <c r="L84" i="2"/>
  <c r="N84" i="2"/>
  <c r="L227" i="2"/>
  <c r="N227" i="2"/>
  <c r="L131" i="2"/>
  <c r="N131" i="2"/>
  <c r="L235" i="2"/>
  <c r="N235" i="2"/>
  <c r="L295" i="2"/>
  <c r="N295" i="2"/>
  <c r="L169" i="2"/>
  <c r="N169" i="2"/>
  <c r="L51" i="2"/>
  <c r="N51" i="2"/>
  <c r="L288" i="2"/>
  <c r="N288" i="2"/>
  <c r="L225" i="2"/>
  <c r="N225" i="2"/>
  <c r="L155" i="2"/>
  <c r="N155" i="2"/>
  <c r="L93" i="2"/>
  <c r="N93" i="2"/>
  <c r="L181" i="2"/>
  <c r="N181" i="2"/>
  <c r="L132" i="2"/>
  <c r="N132" i="2"/>
  <c r="L259" i="2"/>
  <c r="N259" i="2"/>
  <c r="L119" i="2"/>
  <c r="N119" i="2"/>
  <c r="L199" i="2"/>
  <c r="N199" i="2"/>
  <c r="L3" i="2"/>
  <c r="N3" i="2"/>
  <c r="L197" i="2"/>
  <c r="N197" i="2"/>
  <c r="L248" i="2"/>
  <c r="N248" i="2"/>
  <c r="L257" i="2"/>
  <c r="N257" i="2"/>
  <c r="L124" i="2"/>
  <c r="N124" i="2"/>
  <c r="L91" i="2"/>
  <c r="N91" i="2"/>
  <c r="L221" i="2"/>
  <c r="N221" i="2"/>
  <c r="L7" i="2"/>
  <c r="N7" i="2"/>
  <c r="L224" i="2"/>
  <c r="N224" i="2"/>
  <c r="L157" i="2"/>
  <c r="N157" i="2"/>
  <c r="L45" i="2"/>
  <c r="N45" i="2"/>
  <c r="L252" i="2"/>
  <c r="N252" i="2"/>
  <c r="L273" i="2"/>
  <c r="N273" i="2"/>
  <c r="L195" i="2"/>
  <c r="N195" i="2"/>
  <c r="L99" i="2"/>
  <c r="N99" i="2"/>
  <c r="L137" i="2"/>
  <c r="N137" i="2"/>
  <c r="L164" i="2"/>
  <c r="N164" i="2"/>
  <c r="L279" i="2"/>
  <c r="N279" i="2"/>
  <c r="L277" i="2"/>
  <c r="N277" i="2"/>
  <c r="L101" i="2"/>
  <c r="N101" i="2"/>
  <c r="L168" i="2"/>
  <c r="N168" i="2"/>
  <c r="L129" i="2"/>
  <c r="N129" i="2"/>
  <c r="L72" i="2"/>
  <c r="N72" i="2"/>
  <c r="L75" i="2"/>
  <c r="N75" i="2"/>
  <c r="L60" i="2"/>
  <c r="N60" i="2"/>
  <c r="L217" i="2"/>
  <c r="N217" i="2"/>
  <c r="L55" i="2"/>
  <c r="N55" i="2"/>
  <c r="L109" i="2"/>
  <c r="N109" i="2"/>
  <c r="L291" i="2"/>
  <c r="N291" i="2"/>
  <c r="L167" i="2"/>
  <c r="N167" i="2"/>
  <c r="L153" i="2"/>
  <c r="N153" i="2"/>
  <c r="L212" i="2"/>
  <c r="N212" i="2"/>
  <c r="L263" i="2"/>
  <c r="N263" i="2"/>
  <c r="L35" i="2"/>
  <c r="N35" i="2"/>
  <c r="L283" i="2"/>
  <c r="N283" i="2"/>
  <c r="L261" i="2"/>
  <c r="N261" i="2"/>
  <c r="L149" i="2"/>
  <c r="N149" i="2"/>
  <c r="L85" i="2"/>
  <c r="N85" i="2"/>
  <c r="L284" i="2"/>
  <c r="N284" i="2"/>
  <c r="L200" i="2"/>
  <c r="N200" i="2"/>
  <c r="L31" i="2"/>
  <c r="N31" i="2"/>
  <c r="L116" i="2"/>
  <c r="N116" i="2"/>
  <c r="L112" i="2"/>
  <c r="N112" i="2"/>
  <c r="L193" i="2"/>
  <c r="N193" i="2"/>
  <c r="L113" i="2"/>
  <c r="N113" i="2"/>
  <c r="L260" i="2"/>
  <c r="N260" i="2"/>
  <c r="L203" i="2"/>
  <c r="N203" i="2"/>
  <c r="L139" i="2"/>
  <c r="N139" i="2"/>
  <c r="L59" i="2"/>
  <c r="N59" i="2"/>
  <c r="L204" i="2"/>
  <c r="N204" i="2"/>
  <c r="L269" i="2"/>
  <c r="N269" i="2"/>
  <c r="L189" i="2"/>
  <c r="N189" i="2"/>
  <c r="L77" i="2"/>
  <c r="N77" i="2"/>
  <c r="L67" i="2"/>
  <c r="N67" i="2"/>
  <c r="L83" i="2"/>
  <c r="N83" i="2"/>
  <c r="L192" i="2"/>
  <c r="N192" i="2"/>
  <c r="L188" i="2"/>
  <c r="N188" i="2"/>
  <c r="L120" i="2"/>
  <c r="N120" i="2"/>
  <c r="L213" i="2"/>
  <c r="N213" i="2"/>
  <c r="L125" i="2"/>
  <c r="N125" i="2"/>
  <c r="L69" i="2"/>
  <c r="N69" i="2"/>
  <c r="L280" i="2"/>
  <c r="N280" i="2"/>
  <c r="L220" i="2"/>
  <c r="N220" i="2"/>
  <c r="L211" i="2"/>
  <c r="N211" i="2"/>
  <c r="L179" i="2"/>
  <c r="N179" i="2"/>
  <c r="L147" i="2"/>
  <c r="N147" i="2"/>
  <c r="L115" i="2"/>
  <c r="N115" i="2"/>
  <c r="L108" i="2"/>
  <c r="N108" i="2"/>
  <c r="L39" i="2"/>
  <c r="N39" i="2"/>
  <c r="L240" i="2"/>
  <c r="N240" i="2"/>
  <c r="L103" i="2"/>
  <c r="N103" i="2"/>
  <c r="L87" i="2"/>
  <c r="N87" i="2"/>
  <c r="L135" i="2"/>
  <c r="N135" i="2"/>
  <c r="L267" i="2"/>
  <c r="N267" i="2"/>
  <c r="L268" i="2"/>
  <c r="N268" i="2"/>
  <c r="L96" i="2"/>
  <c r="N96" i="2"/>
  <c r="L80" i="2"/>
  <c r="N80" i="2"/>
  <c r="L37" i="2"/>
  <c r="N37" i="2"/>
  <c r="L299" i="2"/>
  <c r="N299" i="2"/>
  <c r="L219" i="2"/>
  <c r="N219" i="2"/>
  <c r="L65" i="2"/>
  <c r="N65" i="2"/>
  <c r="L171" i="2"/>
  <c r="N171" i="2"/>
  <c r="L140" i="2"/>
  <c r="N140" i="2"/>
  <c r="L141" i="2"/>
  <c r="N141" i="2"/>
  <c r="L256" i="2"/>
  <c r="N256" i="2"/>
  <c r="L156" i="2"/>
  <c r="N156" i="2"/>
  <c r="L97" i="2"/>
  <c r="N97" i="2"/>
  <c r="L160" i="2"/>
  <c r="N160" i="2"/>
  <c r="L163" i="2"/>
  <c r="N163" i="2"/>
  <c r="L183" i="2"/>
  <c r="N183" i="2"/>
  <c r="L215" i="2"/>
  <c r="N215" i="2"/>
  <c r="L232" i="2"/>
  <c r="N232" i="2"/>
  <c r="L180" i="2"/>
  <c r="N180" i="2"/>
  <c r="L165" i="2"/>
  <c r="N165" i="2"/>
  <c r="L296" i="2"/>
  <c r="N296" i="2"/>
  <c r="L47" i="2"/>
  <c r="N47" i="2"/>
  <c r="L152" i="2"/>
  <c r="N152" i="2"/>
  <c r="L49" i="2"/>
  <c r="N49" i="2"/>
  <c r="L11" i="2"/>
  <c r="N11" i="2"/>
  <c r="L205" i="2"/>
  <c r="N205" i="2"/>
  <c r="L73" i="2"/>
  <c r="N73" i="2"/>
  <c r="L293" i="2"/>
  <c r="N293" i="2"/>
  <c r="L245" i="2"/>
  <c r="N245" i="2"/>
  <c r="L76" i="2"/>
  <c r="N76" i="2"/>
  <c r="L57" i="2"/>
  <c r="N57" i="2"/>
  <c r="L151" i="2"/>
  <c r="N151" i="2"/>
  <c r="L236" i="2"/>
  <c r="N236" i="2"/>
  <c r="L148" i="2"/>
  <c r="N148" i="2"/>
  <c r="L247" i="2"/>
  <c r="N247" i="2"/>
  <c r="L19" i="2"/>
  <c r="N19" i="2"/>
  <c r="L196" i="2"/>
  <c r="N196" i="2"/>
  <c r="L229" i="2"/>
  <c r="N229" i="2"/>
  <c r="L133" i="2"/>
  <c r="N133" i="2"/>
  <c r="L53" i="2"/>
  <c r="N53" i="2"/>
  <c r="L264" i="2"/>
  <c r="N264" i="2"/>
  <c r="L136" i="2"/>
  <c r="N136" i="2"/>
  <c r="L15" i="2"/>
  <c r="N15" i="2"/>
  <c r="L64" i="2"/>
  <c r="N64" i="2"/>
  <c r="L289" i="2"/>
  <c r="N289" i="2"/>
  <c r="L177" i="2"/>
  <c r="N177" i="2"/>
  <c r="L81" i="2"/>
  <c r="N81" i="2"/>
  <c r="L184" i="2"/>
  <c r="N184" i="2"/>
  <c r="L187" i="2"/>
  <c r="N187" i="2"/>
  <c r="L107" i="2"/>
  <c r="N107" i="2"/>
  <c r="L43" i="2"/>
  <c r="N43" i="2"/>
  <c r="L52" i="2"/>
  <c r="N52" i="2"/>
  <c r="L237" i="2"/>
  <c r="N237" i="2"/>
  <c r="L173" i="2"/>
  <c r="N173" i="2"/>
  <c r="L61" i="2"/>
  <c r="N61" i="2"/>
  <c r="L48" i="2"/>
  <c r="N48" i="2"/>
  <c r="L253" i="2"/>
  <c r="N253" i="2"/>
  <c r="L145" i="2"/>
  <c r="N145" i="2"/>
  <c r="L292" i="2"/>
  <c r="N292" i="2"/>
  <c r="L104" i="2"/>
  <c r="N104" i="2"/>
  <c r="L44" i="2"/>
  <c r="N44" i="2"/>
  <c r="L275" i="2"/>
  <c r="N275" i="2"/>
  <c r="L243" i="2"/>
  <c r="N243" i="2"/>
  <c r="L251" i="2"/>
  <c r="N251" i="2"/>
  <c r="L285" i="2"/>
  <c r="N285" i="2"/>
  <c r="L56" i="2"/>
  <c r="N56" i="2"/>
  <c r="L172" i="2"/>
  <c r="N172" i="2"/>
  <c r="L128" i="2"/>
  <c r="N128" i="2"/>
  <c r="L71" i="2"/>
  <c r="N71" i="2"/>
  <c r="L88" i="2"/>
  <c r="N88" i="2"/>
</calcChain>
</file>

<file path=xl/sharedStrings.xml><?xml version="1.0" encoding="utf-8"?>
<sst xmlns="http://schemas.openxmlformats.org/spreadsheetml/2006/main" count="53" uniqueCount="27">
  <si>
    <t>session_id</t>
  </si>
  <si>
    <t>video_id</t>
  </si>
  <si>
    <t>video_duration</t>
  </si>
  <si>
    <t>watch_time</t>
  </si>
  <si>
    <t>ads_shown</t>
  </si>
  <si>
    <t>ad_frequency</t>
  </si>
  <si>
    <t>same_ad_repeat_count</t>
  </si>
  <si>
    <t>pause_count</t>
  </si>
  <si>
    <t>ads_after_pause</t>
  </si>
  <si>
    <t>session_completed</t>
  </si>
  <si>
    <t>dropped_off</t>
  </si>
  <si>
    <t>next_day_return</t>
  </si>
  <si>
    <t>V1</t>
  </si>
  <si>
    <t>V2</t>
  </si>
  <si>
    <t>V3</t>
  </si>
  <si>
    <t xml:space="preserve">user_id </t>
  </si>
  <si>
    <t>ad_freq_bucket</t>
  </si>
  <si>
    <t>High</t>
  </si>
  <si>
    <t>Low</t>
  </si>
  <si>
    <t>Medium</t>
  </si>
  <si>
    <t>Average of session_completed</t>
  </si>
  <si>
    <t>Retention rate</t>
  </si>
  <si>
    <t>Drop-off Rate</t>
  </si>
  <si>
    <t>Same Ads Repeat count</t>
  </si>
  <si>
    <t>Number of Ads Shown</t>
  </si>
  <si>
    <t>Ads Frequency</t>
  </si>
  <si>
    <t>Number of Ads after pause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</si>
</sst>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4" formatCode="0.0%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3">
    <xf numFmtId="0" fontId="0" fillId="0" borderId="0" xfId="0"/>
    <xf numFmtId="0" fontId="0" fillId="0" borderId="0" xfId="0" pivotButton="1"/>
    <xf numFmtId="16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[analysis.xlsx]pivot!PivotTable4</c:name>
    <c:fmtId val="22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Ad Frequency vs Drop-off Rate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2162314791340435"/>
          <c:y val="0.19950529860119459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</c:pivotFmt>
      <c:pivotFmt>
        <c:idx val="1"/>
        <c:spPr>
          <a:solidFill>
            <a:schemeClr val="accent2"/>
          </a:solidFill>
          <a:ln>
            <a:noFill/>
          </a:ln>
          <a:effectLst/>
          <a:sp3d/>
        </c:spPr>
        <c:marker>
          <c:symbol val="circle"/>
          <c:size val="5"/>
          <c:spPr>
            <a:solidFill>
              <a:schemeClr val="accent2"/>
            </a:solidFill>
            <a:ln w="9525">
              <a:solidFill>
                <a:schemeClr val="accent2"/>
              </a:solidFill>
            </a:ln>
            <a:effectLst/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view3D>
      <c:rotX val="15"/>
      <c:rotY val="20"/>
      <c:depthPercent val="100"/>
      <c:rAngAx val="1"/>
    </c:view3D>
    <c:floor>
      <c:thickness val="0"/>
      <c:spPr>
        <a:noFill/>
        <a:ln>
          <a:noFill/>
        </a:ln>
        <a:effectLst/>
        <a:sp3d/>
      </c:spPr>
    </c:floor>
    <c:sideWall>
      <c:thickness val="0"/>
      <c:spPr>
        <a:noFill/>
        <a:ln>
          <a:noFill/>
        </a:ln>
        <a:effectLst/>
        <a:sp3d/>
      </c:spPr>
    </c:sideWall>
    <c:backWall>
      <c:thickness val="0"/>
      <c:spPr>
        <a:noFill/>
        <a:ln>
          <a:noFill/>
        </a:ln>
        <a:effectLst/>
        <a:sp3d/>
      </c:spPr>
    </c:backWall>
    <c:plotArea>
      <c:layout/>
      <c:bar3DChart>
        <c:barDir val="bar"/>
        <c:grouping val="stacked"/>
        <c:varyColors val="0"/>
        <c:ser>
          <c:idx val="0"/>
          <c:order val="0"/>
          <c:tx>
            <c:strRef>
              <c:f>pivot!$B$1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  <a:sp3d/>
          </c:spPr>
          <c:invertIfNegative val="0"/>
          <c:cat>
            <c:strRef>
              <c:f>pivot!$A$2:$A$4</c:f>
              <c:strCache>
                <c:ptCount val="3"/>
                <c:pt idx="0">
                  <c:v>High</c:v>
                </c:pt>
                <c:pt idx="1">
                  <c:v>Low</c:v>
                </c:pt>
                <c:pt idx="2">
                  <c:v>Medium</c:v>
                </c:pt>
              </c:strCache>
            </c:strRef>
          </c:cat>
          <c:val>
            <c:numRef>
              <c:f>pivot!$B$2:$B$4</c:f>
              <c:numCache>
                <c:formatCode>0.0%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0.18947368421052632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shape val="box"/>
        <c:axId val="542910480"/>
        <c:axId val="542910872"/>
        <c:axId val="0"/>
      </c:bar3DChart>
      <c:catAx>
        <c:axId val="54291048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10872"/>
        <c:crosses val="autoZero"/>
        <c:auto val="1"/>
        <c:lblAlgn val="ctr"/>
        <c:lblOffset val="100"/>
        <c:noMultiLvlLbl val="0"/>
      </c:catAx>
      <c:valAx>
        <c:axId val="542910872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10480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[analysis.xlsx]pivot!PivotTable5</c:name>
    <c:fmtId val="1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Repeat Ads vs Retention Rate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18604807696114783"/>
          <c:y val="0.1514678718476043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6"/>
          </a:solidFill>
          <a:ln>
            <a:noFill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6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6"/>
            </a:solidFill>
            <a:ln w="9525">
              <a:solidFill>
                <a:schemeClr val="accent6"/>
              </a:solidFill>
            </a:ln>
            <a:effectLst/>
          </c:spPr>
        </c:marker>
        <c:dLbl>
          <c:idx val="0"/>
          <c:spPr>
            <a:solidFill>
              <a:srgbClr val="5B9BD5"/>
            </a:solidFill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13363444677329003"/>
          <c:y val="0.2938567573432817"/>
          <c:w val="0.65207248374528726"/>
          <c:h val="0.47483338772494521"/>
        </c:manualLayout>
      </c:layout>
      <c:lineChart>
        <c:grouping val="stacked"/>
        <c:varyColors val="0"/>
        <c:ser>
          <c:idx val="0"/>
          <c:order val="0"/>
          <c:tx>
            <c:strRef>
              <c:f>pivot!$G$1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6"/>
              </a:solidFill>
              <a:ln w="9525">
                <a:solidFill>
                  <a:schemeClr val="accent6"/>
                </a:solidFill>
              </a:ln>
              <a:effectLst/>
            </c:spPr>
          </c:marker>
          <c:cat>
            <c:strRef>
              <c:f>pivot!$F$2:$F$8</c:f>
              <c:strCache>
                <c:ptCount val="7"/>
                <c:pt idx="0">
                  <c:v>0</c:v>
                </c:pt>
                <c:pt idx="1">
                  <c:v>1</c:v>
                </c:pt>
                <c:pt idx="2">
                  <c:v>2</c:v>
                </c:pt>
                <c:pt idx="3">
                  <c:v>3</c:v>
                </c:pt>
                <c:pt idx="4">
                  <c:v>4</c:v>
                </c:pt>
                <c:pt idx="5">
                  <c:v>5</c:v>
                </c:pt>
                <c:pt idx="6">
                  <c:v>6</c:v>
                </c:pt>
              </c:strCache>
            </c:strRef>
          </c:cat>
          <c:val>
            <c:numRef>
              <c:f>pivot!$G$2:$G$8</c:f>
              <c:numCache>
                <c:formatCode>0.0%</c:formatCode>
                <c:ptCount val="7"/>
                <c:pt idx="0">
                  <c:v>1</c:v>
                </c:pt>
                <c:pt idx="1">
                  <c:v>0.75</c:v>
                </c:pt>
                <c:pt idx="2">
                  <c:v>0.6470588235294118</c:v>
                </c:pt>
                <c:pt idx="3">
                  <c:v>0.54054054054054057</c:v>
                </c:pt>
                <c:pt idx="4">
                  <c:v>0.50980392156862742</c:v>
                </c:pt>
                <c:pt idx="5">
                  <c:v>6.8181818181818177E-2</c:v>
                </c:pt>
                <c:pt idx="6">
                  <c:v>4.878048780487805E-2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42914792"/>
        <c:axId val="542914008"/>
      </c:lineChart>
      <c:catAx>
        <c:axId val="54291479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14008"/>
        <c:crosses val="autoZero"/>
        <c:auto val="1"/>
        <c:lblAlgn val="ctr"/>
        <c:lblOffset val="100"/>
        <c:noMultiLvlLbl val="0"/>
      </c:catAx>
      <c:valAx>
        <c:axId val="542914008"/>
        <c:scaling>
          <c:orientation val="minMax"/>
          <c:max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91479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[analysis.xlsx]pivot!PivotTable6</c:name>
    <c:fmtId val="2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1" i="0" u="none" strike="noStrike" baseline="0"/>
              <a:t>Ads After Pause vs Drop-off</a:t>
            </a:r>
            <a:r>
              <a:rPr lang="en-US" sz="1400" b="0" i="0" u="none" strike="noStrike" baseline="0"/>
              <a:t> </a:t>
            </a:r>
            <a:endParaRPr lang="en-US"/>
          </a:p>
        </c:rich>
      </c:tx>
      <c:layout>
        <c:manualLayout>
          <c:xMode val="edge"/>
          <c:yMode val="edge"/>
          <c:x val="0.24525939580617376"/>
          <c:y val="0.1145659264880800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  <c:pivotFmt>
        <c:idx val="1"/>
        <c:spPr>
          <a:solidFill>
            <a:schemeClr val="accent2"/>
          </a:solidFill>
          <a:ln>
            <a:noFill/>
          </a:ln>
          <a:effectLst/>
        </c:spPr>
        <c:marker>
          <c:symbol val="none"/>
        </c:marker>
      </c:pivotFmt>
    </c:pivotFmts>
    <c:plotArea>
      <c:layout>
        <c:manualLayout>
          <c:layoutTarget val="inner"/>
          <c:xMode val="edge"/>
          <c:yMode val="edge"/>
          <c:x val="0.13949928258967628"/>
          <c:y val="0.25380814340310515"/>
          <c:w val="0.67949914260717414"/>
          <c:h val="0.5464063374145260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pivot!$B$12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pivot!$A$13:$A$14</c:f>
              <c:strCache>
                <c:ptCount val="2"/>
                <c:pt idx="0">
                  <c:v>0</c:v>
                </c:pt>
                <c:pt idx="1">
                  <c:v>1</c:v>
                </c:pt>
              </c:strCache>
            </c:strRef>
          </c:cat>
          <c:val>
            <c:numRef>
              <c:f>pivot!$B$13:$B$14</c:f>
              <c:numCache>
                <c:formatCode>0.0%</c:formatCode>
                <c:ptCount val="2"/>
                <c:pt idx="0">
                  <c:v>4.7872340425531915E-2</c:v>
                </c:pt>
                <c:pt idx="1">
                  <c:v>9.0090090090090086E-2</c:v>
                </c:pt>
              </c:numCache>
            </c:numRef>
          </c:val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42505032"/>
        <c:axId val="433270104"/>
      </c:barChart>
      <c:catAx>
        <c:axId val="542505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70104"/>
        <c:crosses val="autoZero"/>
        <c:auto val="1"/>
        <c:lblAlgn val="ctr"/>
        <c:lblOffset val="100"/>
        <c:noMultiLvlLbl val="0"/>
      </c:catAx>
      <c:valAx>
        <c:axId val="43327010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42505032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[analysis.xlsx]pivot!PivotTable7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b="1"/>
              <a:t>Ads Shown vs Completion Rate</a:t>
            </a:r>
            <a:r>
              <a:rPr lang="en-US"/>
              <a:t> </a:t>
            </a:r>
          </a:p>
        </c:rich>
      </c:tx>
      <c:layout>
        <c:manualLayout>
          <c:xMode val="edge"/>
          <c:yMode val="edge"/>
          <c:x val="0.16698844965464027"/>
          <c:y val="0.123468418019604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  <c:pivotFmt>
        <c:idx val="1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circle"/>
          <c:size val="5"/>
          <c:spPr>
            <a:solidFill>
              <a:schemeClr val="accent1"/>
            </a:solidFill>
            <a:ln w="9525">
              <a:solidFill>
                <a:schemeClr val="accent1"/>
              </a:solidFill>
            </a:ln>
            <a:effectLst/>
          </c:spPr>
        </c:marker>
      </c:pivotFmt>
    </c:pivotFmts>
    <c:plotArea>
      <c:layout>
        <c:manualLayout>
          <c:layoutTarget val="inner"/>
          <c:xMode val="edge"/>
          <c:yMode val="edge"/>
          <c:x val="0.10342825896762903"/>
          <c:y val="0.25865522018081066"/>
          <c:w val="0.71040463692038491"/>
          <c:h val="0.53774387576552929"/>
        </c:manualLayout>
      </c:layout>
      <c:lineChart>
        <c:grouping val="stacked"/>
        <c:varyColors val="0"/>
        <c:ser>
          <c:idx val="0"/>
          <c:order val="0"/>
          <c:tx>
            <c:strRef>
              <c:f>pivot!$G$12</c:f>
              <c:strCache>
                <c:ptCount val="1"/>
                <c:pt idx="0">
                  <c:v>Total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cat>
            <c:strRef>
              <c:f>pivot!$F$13:$F$20</c:f>
              <c:strCache>
                <c:ptCount val="8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</c:strCache>
            </c:strRef>
          </c:cat>
          <c:val>
            <c:numRef>
              <c:f>pivot!$G$13:$G$20</c:f>
              <c:numCache>
                <c:formatCode>0.0%</c:formatCode>
                <c:ptCount val="8"/>
                <c:pt idx="0">
                  <c:v>0.2</c:v>
                </c:pt>
                <c:pt idx="1">
                  <c:v>0.10256410256410256</c:v>
                </c:pt>
                <c:pt idx="2">
                  <c:v>0.125</c:v>
                </c:pt>
                <c:pt idx="3">
                  <c:v>0.23076923076923078</c:v>
                </c:pt>
                <c:pt idx="4">
                  <c:v>0.27906976744186046</c:v>
                </c:pt>
                <c:pt idx="5">
                  <c:v>0.11363636363636363</c:v>
                </c:pt>
                <c:pt idx="6">
                  <c:v>0.13157894736842105</c:v>
                </c:pt>
                <c:pt idx="7">
                  <c:v>0.16666666666666666</c:v>
                </c:pt>
              </c:numCache>
            </c:numRef>
          </c:val>
          <c:smooth val="0"/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433272456"/>
        <c:axId val="433269320"/>
      </c:lineChart>
      <c:catAx>
        <c:axId val="43327245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69320"/>
        <c:crosses val="autoZero"/>
        <c:auto val="1"/>
        <c:lblAlgn val="ctr"/>
        <c:lblOffset val="100"/>
        <c:noMultiLvlLbl val="0"/>
      </c:catAx>
      <c:valAx>
        <c:axId val="4332693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33272456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Visible val="1"/>
      </c14:pivotOptions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3">
  <a:schemeClr val="accent6"/>
  <a:schemeClr val="accent5"/>
  <a:schemeClr val="accent4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8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3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30929</xdr:colOff>
      <xdr:row>0</xdr:row>
      <xdr:rowOff>0</xdr:rowOff>
    </xdr:from>
    <xdr:to>
      <xdr:col>8</xdr:col>
      <xdr:colOff>11451</xdr:colOff>
      <xdr:row>9</xdr:row>
      <xdr:rowOff>161925</xdr:rowOff>
    </xdr:to>
    <xdr:graphicFrame macro="">
      <xdr:nvGraphicFramePr>
        <xdr:cNvPr id="2" name="Chart 3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599209</xdr:colOff>
      <xdr:row>0</xdr:row>
      <xdr:rowOff>0</xdr:rowOff>
    </xdr:from>
    <xdr:to>
      <xdr:col>15</xdr:col>
      <xdr:colOff>474955</xdr:colOff>
      <xdr:row>9</xdr:row>
      <xdr:rowOff>176212</xdr:rowOff>
    </xdr:to>
    <xdr:graphicFrame macro="">
      <xdr:nvGraphicFramePr>
        <xdr:cNvPr id="3" name="Chart 4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</xdr:col>
      <xdr:colOff>589492</xdr:colOff>
      <xdr:row>12</xdr:row>
      <xdr:rowOff>170920</xdr:rowOff>
    </xdr:from>
    <xdr:to>
      <xdr:col>7</xdr:col>
      <xdr:colOff>612776</xdr:colOff>
      <xdr:row>24</xdr:row>
      <xdr:rowOff>51858</xdr:rowOff>
    </xdr:to>
    <xdr:graphicFrame macro="">
      <xdr:nvGraphicFramePr>
        <xdr:cNvPr id="4" name="Chart 5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9</xdr:col>
      <xdr:colOff>611717</xdr:colOff>
      <xdr:row>12</xdr:row>
      <xdr:rowOff>185735</xdr:rowOff>
    </xdr:from>
    <xdr:to>
      <xdr:col>15</xdr:col>
      <xdr:colOff>497417</xdr:colOff>
      <xdr:row>24</xdr:row>
      <xdr:rowOff>114298</xdr:rowOff>
    </xdr:to>
    <xdr:graphicFrame macro="">
      <xdr:nvGraphicFramePr>
        <xdr:cNvPr id="5" name="Chart 6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oneCellAnchor>
    <xdr:from>
      <xdr:col>1</xdr:col>
      <xdr:colOff>550333</xdr:colOff>
      <xdr:row>9</xdr:row>
      <xdr:rowOff>169333</xdr:rowOff>
    </xdr:from>
    <xdr:ext cx="3873500" cy="264560"/>
    <xdr:sp macro="" textlink="">
      <xdr:nvSpPr>
        <xdr:cNvPr id="6" name="TextBox 5"/>
        <xdr:cNvSpPr txBox="1"/>
      </xdr:nvSpPr>
      <xdr:spPr>
        <a:xfrm>
          <a:off x="1164166" y="1883833"/>
          <a:ext cx="3873500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b="1"/>
            <a:t>Higher ad frequency leads to significantly higher user drop-off.</a:t>
          </a:r>
          <a:endParaRPr lang="en-US" sz="1100" b="1"/>
        </a:p>
      </xdr:txBody>
    </xdr:sp>
    <xdr:clientData/>
  </xdr:oneCellAnchor>
  <xdr:oneCellAnchor>
    <xdr:from>
      <xdr:col>9</xdr:col>
      <xdr:colOff>550334</xdr:colOff>
      <xdr:row>9</xdr:row>
      <xdr:rowOff>169333</xdr:rowOff>
    </xdr:from>
    <xdr:ext cx="3746499" cy="436786"/>
    <xdr:sp macro="" textlink="">
      <xdr:nvSpPr>
        <xdr:cNvPr id="7" name="TextBox 6"/>
        <xdr:cNvSpPr txBox="1"/>
      </xdr:nvSpPr>
      <xdr:spPr>
        <a:xfrm>
          <a:off x="6074834" y="1883833"/>
          <a:ext cx="3746499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b="1"/>
            <a:t>Increasing repetition of the same ad reduces next-day user retention.</a:t>
          </a:r>
          <a:endParaRPr lang="en-US" sz="1100" b="1"/>
        </a:p>
      </xdr:txBody>
    </xdr:sp>
    <xdr:clientData/>
  </xdr:oneCellAnchor>
  <xdr:oneCellAnchor>
    <xdr:from>
      <xdr:col>2</xdr:col>
      <xdr:colOff>1</xdr:colOff>
      <xdr:row>24</xdr:row>
      <xdr:rowOff>59532</xdr:rowOff>
    </xdr:from>
    <xdr:ext cx="3619500" cy="436786"/>
    <xdr:sp macro="" textlink="">
      <xdr:nvSpPr>
        <xdr:cNvPr id="8" name="TextBox 7"/>
        <xdr:cNvSpPr txBox="1"/>
      </xdr:nvSpPr>
      <xdr:spPr>
        <a:xfrm>
          <a:off x="1214439" y="4631532"/>
          <a:ext cx="3619500" cy="436786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b="1"/>
            <a:t>Ads shown after pause increase user frustration and drive higher drop-off.</a:t>
          </a:r>
          <a:endParaRPr lang="en-US" sz="1100" b="1"/>
        </a:p>
      </xdr:txBody>
    </xdr:sp>
    <xdr:clientData/>
  </xdr:oneCellAnchor>
  <xdr:oneCellAnchor>
    <xdr:from>
      <xdr:col>10</xdr:col>
      <xdr:colOff>23811</xdr:colOff>
      <xdr:row>24</xdr:row>
      <xdr:rowOff>154781</xdr:rowOff>
    </xdr:from>
    <xdr:ext cx="3595687" cy="264560"/>
    <xdr:sp macro="" textlink="">
      <xdr:nvSpPr>
        <xdr:cNvPr id="9" name="TextBox 8"/>
        <xdr:cNvSpPr txBox="1"/>
      </xdr:nvSpPr>
      <xdr:spPr>
        <a:xfrm>
          <a:off x="6095999" y="4726781"/>
          <a:ext cx="3595687" cy="264560"/>
        </a:xfrm>
        <a:prstGeom prst="rect">
          <a:avLst/>
        </a:prstGeom>
        <a:noFill/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tx1"/>
        </a:fontRef>
      </xdr:style>
      <xdr:txBody>
        <a:bodyPr vertOverflow="clip" horzOverflow="clip" wrap="square" rtlCol="0" anchor="t">
          <a:spAutoFit/>
        </a:bodyPr>
        <a:lstStyle/>
        <a:p>
          <a:pPr algn="ctr"/>
          <a:r>
            <a:rPr lang="en-US" b="1"/>
            <a:t>Higher number of ads reduces session completion rates.</a:t>
          </a:r>
          <a:endParaRPr lang="en-US" sz="1100" b="1"/>
        </a:p>
      </xdr:txBody>
    </xdr:sp>
    <xdr:clientData/>
  </xdr:one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Nikhil" refreshedDate="46111.977969444444" createdVersion="5" refreshedVersion="5" minRefreshableVersion="3" recordCount="299">
  <cacheSource type="worksheet">
    <worksheetSource ref="A1:N300" sheet="analysis"/>
  </cacheSource>
  <cacheFields count="14">
    <cacheField name="user_id " numFmtId="0">
      <sharedItems containsSemiMixedTypes="0" containsString="0" containsNumber="1" containsInteger="1" minValue="1" maxValue="299"/>
    </cacheField>
    <cacheField name="session_id" numFmtId="0">
      <sharedItems containsSemiMixedTypes="0" containsString="0" containsNumber="1" containsInteger="1" minValue="1002" maxValue="1300"/>
    </cacheField>
    <cacheField name="video_id" numFmtId="0">
      <sharedItems/>
    </cacheField>
    <cacheField name="video_duration" numFmtId="0">
      <sharedItems containsSemiMixedTypes="0" containsString="0" containsNumber="1" containsInteger="1" minValue="30" maxValue="60"/>
    </cacheField>
    <cacheField name="watch_time" numFmtId="0">
      <sharedItems containsSemiMixedTypes="0" containsString="0" containsNumber="1" containsInteger="1" minValue="12" maxValue="60"/>
    </cacheField>
    <cacheField name="ads_shown" numFmtId="0">
      <sharedItems containsSemiMixedTypes="0" containsString="0" containsNumber="1" containsInteger="1" minValue="1" maxValue="8" count="8">
        <n v="8"/>
        <n v="3"/>
        <n v="5"/>
        <n v="6"/>
        <n v="4"/>
        <n v="2"/>
        <n v="1"/>
        <n v="7"/>
      </sharedItems>
    </cacheField>
    <cacheField name="ad_frequency" numFmtId="0">
      <sharedItems containsSemiMixedTypes="0" containsString="0" containsNumber="1" minValue="1.6949152542372881E-2" maxValue="0.61538461538461542"/>
    </cacheField>
    <cacheField name="same_ad_repeat_count" numFmtId="0">
      <sharedItems containsSemiMixedTypes="0" containsString="0" containsNumber="1" containsInteger="1" minValue="0" maxValue="6" count="7">
        <n v="6"/>
        <n v="2"/>
        <n v="0"/>
        <n v="3"/>
        <n v="4"/>
        <n v="1"/>
        <n v="5"/>
      </sharedItems>
    </cacheField>
    <cacheField name="pause_count" numFmtId="0">
      <sharedItems containsSemiMixedTypes="0" containsString="0" containsNumber="1" containsInteger="1" minValue="0" maxValue="4"/>
    </cacheField>
    <cacheField name="ads_after_pause" numFmtId="0">
      <sharedItems containsSemiMixedTypes="0" containsString="0" containsNumber="1" containsInteger="1" minValue="0" maxValue="1" count="2">
        <n v="1"/>
        <n v="0"/>
      </sharedItems>
    </cacheField>
    <cacheField name="session_completed" numFmtId="0">
      <sharedItems containsSemiMixedTypes="0" containsString="0" containsNumber="1" containsInteger="1" minValue="0" maxValue="1"/>
    </cacheField>
    <cacheField name="dropped_off" numFmtId="0">
      <sharedItems containsSemiMixedTypes="0" containsString="0" containsNumber="1" containsInteger="1" minValue="0" maxValue="1"/>
    </cacheField>
    <cacheField name="next_day_return" numFmtId="0">
      <sharedItems containsSemiMixedTypes="0" containsString="0" containsNumber="1" containsInteger="1" minValue="0" maxValue="1"/>
    </cacheField>
    <cacheField name="ad_freq_bucket" numFmtId="0">
      <sharedItems count="3">
        <s v="Medium"/>
        <s v="Low"/>
        <s v="High"/>
      </sharedItems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99">
  <r>
    <n v="1"/>
    <n v="1002"/>
    <s v="V3"/>
    <n v="45"/>
    <n v="34"/>
    <x v="0"/>
    <n v="0.23529411764705882"/>
    <x v="0"/>
    <n v="2"/>
    <x v="0"/>
    <n v="0"/>
    <n v="0"/>
    <n v="0"/>
    <x v="0"/>
  </r>
  <r>
    <n v="2"/>
    <n v="1003"/>
    <s v="V3"/>
    <n v="30"/>
    <n v="17"/>
    <x v="0"/>
    <n v="0.47058823529411764"/>
    <x v="0"/>
    <n v="1"/>
    <x v="0"/>
    <n v="0"/>
    <n v="1"/>
    <n v="0"/>
    <x v="0"/>
  </r>
  <r>
    <n v="3"/>
    <n v="1004"/>
    <s v="V1"/>
    <n v="45"/>
    <n v="22"/>
    <x v="1"/>
    <n v="0.13636363636363635"/>
    <x v="1"/>
    <n v="0"/>
    <x v="1"/>
    <n v="0"/>
    <n v="0"/>
    <n v="1"/>
    <x v="1"/>
  </r>
  <r>
    <n v="4"/>
    <n v="1005"/>
    <s v="V3"/>
    <n v="60"/>
    <n v="33"/>
    <x v="0"/>
    <n v="0.24242424242424243"/>
    <x v="1"/>
    <n v="4"/>
    <x v="1"/>
    <n v="0"/>
    <n v="0"/>
    <n v="1"/>
    <x v="0"/>
  </r>
  <r>
    <n v="5"/>
    <n v="1006"/>
    <s v="V3"/>
    <n v="30"/>
    <n v="29"/>
    <x v="2"/>
    <n v="0.17241379310344829"/>
    <x v="0"/>
    <n v="3"/>
    <x v="1"/>
    <n v="1"/>
    <n v="0"/>
    <n v="0"/>
    <x v="1"/>
  </r>
  <r>
    <n v="6"/>
    <n v="1007"/>
    <s v="V2"/>
    <n v="45"/>
    <n v="35"/>
    <x v="3"/>
    <n v="0.17142857142857143"/>
    <x v="2"/>
    <n v="0"/>
    <x v="1"/>
    <n v="0"/>
    <n v="0"/>
    <n v="1"/>
    <x v="1"/>
  </r>
  <r>
    <n v="7"/>
    <n v="1008"/>
    <s v="V3"/>
    <n v="60"/>
    <n v="30"/>
    <x v="4"/>
    <n v="0.13333333333333333"/>
    <x v="3"/>
    <n v="4"/>
    <x v="0"/>
    <n v="0"/>
    <n v="0"/>
    <n v="0"/>
    <x v="1"/>
  </r>
  <r>
    <n v="8"/>
    <n v="1009"/>
    <s v="V1"/>
    <n v="45"/>
    <n v="32"/>
    <x v="2"/>
    <n v="0.15625"/>
    <x v="4"/>
    <n v="0"/>
    <x v="1"/>
    <n v="0"/>
    <n v="0"/>
    <n v="1"/>
    <x v="1"/>
  </r>
  <r>
    <n v="9"/>
    <n v="1010"/>
    <s v="V2"/>
    <n v="45"/>
    <n v="21"/>
    <x v="5"/>
    <n v="9.5238095238095233E-2"/>
    <x v="0"/>
    <n v="4"/>
    <x v="1"/>
    <n v="0"/>
    <n v="0"/>
    <n v="0"/>
    <x v="1"/>
  </r>
  <r>
    <n v="10"/>
    <n v="1011"/>
    <s v="V3"/>
    <n v="45"/>
    <n v="28"/>
    <x v="1"/>
    <n v="0.10714285714285714"/>
    <x v="4"/>
    <n v="1"/>
    <x v="1"/>
    <n v="0"/>
    <n v="0"/>
    <n v="0"/>
    <x v="1"/>
  </r>
  <r>
    <n v="11"/>
    <n v="1012"/>
    <s v="V1"/>
    <n v="45"/>
    <n v="31"/>
    <x v="6"/>
    <n v="3.2258064516129031E-2"/>
    <x v="5"/>
    <n v="4"/>
    <x v="1"/>
    <n v="0"/>
    <n v="0"/>
    <n v="1"/>
    <x v="1"/>
  </r>
  <r>
    <n v="12"/>
    <n v="1013"/>
    <s v="V1"/>
    <n v="60"/>
    <n v="33"/>
    <x v="3"/>
    <n v="0.18181818181818182"/>
    <x v="5"/>
    <n v="3"/>
    <x v="1"/>
    <n v="0"/>
    <n v="0"/>
    <n v="1"/>
    <x v="1"/>
  </r>
  <r>
    <n v="13"/>
    <n v="1014"/>
    <s v="V1"/>
    <n v="60"/>
    <n v="28"/>
    <x v="3"/>
    <n v="0.21428571428571427"/>
    <x v="1"/>
    <n v="4"/>
    <x v="0"/>
    <n v="0"/>
    <n v="0"/>
    <n v="1"/>
    <x v="0"/>
  </r>
  <r>
    <n v="14"/>
    <n v="1015"/>
    <s v="V3"/>
    <n v="45"/>
    <n v="27"/>
    <x v="2"/>
    <n v="0.18518518518518517"/>
    <x v="1"/>
    <n v="4"/>
    <x v="1"/>
    <n v="0"/>
    <n v="0"/>
    <n v="1"/>
    <x v="1"/>
  </r>
  <r>
    <n v="15"/>
    <n v="1016"/>
    <s v="V3"/>
    <n v="60"/>
    <n v="57"/>
    <x v="3"/>
    <n v="0.10526315789473684"/>
    <x v="6"/>
    <n v="0"/>
    <x v="1"/>
    <n v="1"/>
    <n v="0"/>
    <n v="0"/>
    <x v="1"/>
  </r>
  <r>
    <n v="16"/>
    <n v="1017"/>
    <s v="V1"/>
    <n v="30"/>
    <n v="25"/>
    <x v="6"/>
    <n v="0.04"/>
    <x v="4"/>
    <n v="3"/>
    <x v="1"/>
    <n v="0"/>
    <n v="0"/>
    <n v="1"/>
    <x v="1"/>
  </r>
  <r>
    <n v="17"/>
    <n v="1018"/>
    <s v="V3"/>
    <n v="60"/>
    <n v="28"/>
    <x v="4"/>
    <n v="0.14285714285714285"/>
    <x v="1"/>
    <n v="4"/>
    <x v="0"/>
    <n v="0"/>
    <n v="0"/>
    <n v="0"/>
    <x v="1"/>
  </r>
  <r>
    <n v="18"/>
    <n v="1019"/>
    <s v="V1"/>
    <n v="45"/>
    <n v="39"/>
    <x v="3"/>
    <n v="0.15384615384615385"/>
    <x v="3"/>
    <n v="4"/>
    <x v="0"/>
    <n v="0"/>
    <n v="0"/>
    <n v="1"/>
    <x v="1"/>
  </r>
  <r>
    <n v="19"/>
    <n v="1020"/>
    <s v="V3"/>
    <n v="45"/>
    <n v="32"/>
    <x v="6"/>
    <n v="3.125E-2"/>
    <x v="4"/>
    <n v="3"/>
    <x v="0"/>
    <n v="0"/>
    <n v="0"/>
    <n v="1"/>
    <x v="1"/>
  </r>
  <r>
    <n v="20"/>
    <n v="1021"/>
    <s v="V3"/>
    <n v="30"/>
    <n v="29"/>
    <x v="1"/>
    <n v="0.10344827586206896"/>
    <x v="0"/>
    <n v="4"/>
    <x v="0"/>
    <n v="1"/>
    <n v="0"/>
    <n v="0"/>
    <x v="1"/>
  </r>
  <r>
    <n v="21"/>
    <n v="1022"/>
    <s v="V2"/>
    <n v="60"/>
    <n v="41"/>
    <x v="3"/>
    <n v="0.14634146341463414"/>
    <x v="1"/>
    <n v="0"/>
    <x v="1"/>
    <n v="0"/>
    <n v="0"/>
    <n v="1"/>
    <x v="1"/>
  </r>
  <r>
    <n v="22"/>
    <n v="1023"/>
    <s v="V2"/>
    <n v="30"/>
    <n v="23"/>
    <x v="1"/>
    <n v="0.13043478260869565"/>
    <x v="4"/>
    <n v="1"/>
    <x v="1"/>
    <n v="0"/>
    <n v="0"/>
    <n v="1"/>
    <x v="1"/>
  </r>
  <r>
    <n v="23"/>
    <n v="1024"/>
    <s v="V3"/>
    <n v="45"/>
    <n v="38"/>
    <x v="3"/>
    <n v="0.15789473684210525"/>
    <x v="1"/>
    <n v="2"/>
    <x v="1"/>
    <n v="0"/>
    <n v="0"/>
    <n v="1"/>
    <x v="1"/>
  </r>
  <r>
    <n v="24"/>
    <n v="1025"/>
    <s v="V1"/>
    <n v="45"/>
    <n v="35"/>
    <x v="4"/>
    <n v="0.11428571428571428"/>
    <x v="1"/>
    <n v="3"/>
    <x v="1"/>
    <n v="0"/>
    <n v="0"/>
    <n v="0"/>
    <x v="1"/>
  </r>
  <r>
    <n v="25"/>
    <n v="1026"/>
    <s v="V2"/>
    <n v="30"/>
    <n v="28"/>
    <x v="6"/>
    <n v="3.5714285714285712E-2"/>
    <x v="6"/>
    <n v="0"/>
    <x v="1"/>
    <n v="1"/>
    <n v="0"/>
    <n v="0"/>
    <x v="1"/>
  </r>
  <r>
    <n v="26"/>
    <n v="1027"/>
    <s v="V2"/>
    <n v="30"/>
    <n v="20"/>
    <x v="7"/>
    <n v="0.35"/>
    <x v="0"/>
    <n v="3"/>
    <x v="0"/>
    <n v="0"/>
    <n v="1"/>
    <n v="0"/>
    <x v="0"/>
  </r>
  <r>
    <n v="27"/>
    <n v="1028"/>
    <s v="V1"/>
    <n v="45"/>
    <n v="19"/>
    <x v="1"/>
    <n v="0.15789473684210525"/>
    <x v="6"/>
    <n v="2"/>
    <x v="1"/>
    <n v="0"/>
    <n v="0"/>
    <n v="0"/>
    <x v="1"/>
  </r>
  <r>
    <n v="28"/>
    <n v="1029"/>
    <s v="V3"/>
    <n v="30"/>
    <n v="26"/>
    <x v="2"/>
    <n v="0.19230769230769232"/>
    <x v="5"/>
    <n v="0"/>
    <x v="1"/>
    <n v="0"/>
    <n v="0"/>
    <n v="1"/>
    <x v="1"/>
  </r>
  <r>
    <n v="29"/>
    <n v="1030"/>
    <s v="V1"/>
    <n v="30"/>
    <n v="29"/>
    <x v="7"/>
    <n v="0.2413793103448276"/>
    <x v="5"/>
    <n v="1"/>
    <x v="1"/>
    <n v="1"/>
    <n v="0"/>
    <n v="1"/>
    <x v="0"/>
  </r>
  <r>
    <n v="30"/>
    <n v="1031"/>
    <s v="V1"/>
    <n v="30"/>
    <n v="28"/>
    <x v="6"/>
    <n v="3.5714285714285712E-2"/>
    <x v="1"/>
    <n v="1"/>
    <x v="0"/>
    <n v="1"/>
    <n v="0"/>
    <n v="1"/>
    <x v="1"/>
  </r>
  <r>
    <n v="31"/>
    <n v="1032"/>
    <s v="V2"/>
    <n v="30"/>
    <n v="22"/>
    <x v="5"/>
    <n v="9.0909090909090912E-2"/>
    <x v="1"/>
    <n v="1"/>
    <x v="0"/>
    <n v="0"/>
    <n v="0"/>
    <n v="1"/>
    <x v="1"/>
  </r>
  <r>
    <n v="32"/>
    <n v="1033"/>
    <s v="V2"/>
    <n v="30"/>
    <n v="21"/>
    <x v="5"/>
    <n v="9.5238095238095233E-2"/>
    <x v="5"/>
    <n v="2"/>
    <x v="1"/>
    <n v="0"/>
    <n v="0"/>
    <n v="1"/>
    <x v="1"/>
  </r>
  <r>
    <n v="33"/>
    <n v="1034"/>
    <s v="V3"/>
    <n v="30"/>
    <n v="23"/>
    <x v="5"/>
    <n v="8.6956521739130432E-2"/>
    <x v="6"/>
    <n v="4"/>
    <x v="1"/>
    <n v="0"/>
    <n v="0"/>
    <n v="0"/>
    <x v="1"/>
  </r>
  <r>
    <n v="34"/>
    <n v="1035"/>
    <s v="V3"/>
    <n v="30"/>
    <n v="13"/>
    <x v="5"/>
    <n v="0.15384615384615385"/>
    <x v="4"/>
    <n v="2"/>
    <x v="0"/>
    <n v="0"/>
    <n v="0"/>
    <n v="1"/>
    <x v="1"/>
  </r>
  <r>
    <n v="35"/>
    <n v="1036"/>
    <s v="V3"/>
    <n v="30"/>
    <n v="22"/>
    <x v="1"/>
    <n v="0.13636363636363635"/>
    <x v="0"/>
    <n v="1"/>
    <x v="0"/>
    <n v="0"/>
    <n v="0"/>
    <n v="0"/>
    <x v="1"/>
  </r>
  <r>
    <n v="36"/>
    <n v="1037"/>
    <s v="V2"/>
    <n v="60"/>
    <n v="53"/>
    <x v="3"/>
    <n v="0.11320754716981132"/>
    <x v="4"/>
    <n v="0"/>
    <x v="1"/>
    <n v="0"/>
    <n v="0"/>
    <n v="0"/>
    <x v="1"/>
  </r>
  <r>
    <n v="37"/>
    <n v="1038"/>
    <s v="V3"/>
    <n v="60"/>
    <n v="49"/>
    <x v="5"/>
    <n v="4.0816326530612242E-2"/>
    <x v="5"/>
    <n v="3"/>
    <x v="1"/>
    <n v="0"/>
    <n v="0"/>
    <n v="0"/>
    <x v="1"/>
  </r>
  <r>
    <n v="38"/>
    <n v="1039"/>
    <s v="V2"/>
    <n v="60"/>
    <n v="36"/>
    <x v="0"/>
    <n v="0.22222222222222221"/>
    <x v="5"/>
    <n v="1"/>
    <x v="0"/>
    <n v="0"/>
    <n v="0"/>
    <n v="1"/>
    <x v="0"/>
  </r>
  <r>
    <n v="39"/>
    <n v="1040"/>
    <s v="V2"/>
    <n v="45"/>
    <n v="39"/>
    <x v="1"/>
    <n v="7.6923076923076927E-2"/>
    <x v="0"/>
    <n v="3"/>
    <x v="1"/>
    <n v="0"/>
    <n v="0"/>
    <n v="1"/>
    <x v="1"/>
  </r>
  <r>
    <n v="40"/>
    <n v="1041"/>
    <s v="V2"/>
    <n v="60"/>
    <n v="40"/>
    <x v="1"/>
    <n v="7.4999999999999997E-2"/>
    <x v="2"/>
    <n v="3"/>
    <x v="0"/>
    <n v="0"/>
    <n v="0"/>
    <n v="1"/>
    <x v="1"/>
  </r>
  <r>
    <n v="41"/>
    <n v="1042"/>
    <s v="V3"/>
    <n v="60"/>
    <n v="27"/>
    <x v="3"/>
    <n v="0.22222222222222221"/>
    <x v="5"/>
    <n v="2"/>
    <x v="0"/>
    <n v="0"/>
    <n v="0"/>
    <n v="1"/>
    <x v="0"/>
  </r>
  <r>
    <n v="42"/>
    <n v="1043"/>
    <s v="V1"/>
    <n v="30"/>
    <n v="15"/>
    <x v="4"/>
    <n v="0.26666666666666666"/>
    <x v="4"/>
    <n v="2"/>
    <x v="0"/>
    <n v="0"/>
    <n v="0"/>
    <n v="0"/>
    <x v="0"/>
  </r>
  <r>
    <n v="43"/>
    <n v="1044"/>
    <s v="V3"/>
    <n v="45"/>
    <n v="19"/>
    <x v="0"/>
    <n v="0.42105263157894735"/>
    <x v="3"/>
    <n v="4"/>
    <x v="1"/>
    <n v="0"/>
    <n v="1"/>
    <n v="0"/>
    <x v="0"/>
  </r>
  <r>
    <n v="44"/>
    <n v="1045"/>
    <s v="V3"/>
    <n v="45"/>
    <n v="23"/>
    <x v="5"/>
    <n v="8.6956521739130432E-2"/>
    <x v="5"/>
    <n v="3"/>
    <x v="1"/>
    <n v="0"/>
    <n v="0"/>
    <n v="1"/>
    <x v="1"/>
  </r>
  <r>
    <n v="45"/>
    <n v="1046"/>
    <s v="V3"/>
    <n v="60"/>
    <n v="39"/>
    <x v="7"/>
    <n v="0.17948717948717949"/>
    <x v="5"/>
    <n v="1"/>
    <x v="1"/>
    <n v="0"/>
    <n v="0"/>
    <n v="1"/>
    <x v="1"/>
  </r>
  <r>
    <n v="46"/>
    <n v="1047"/>
    <s v="V2"/>
    <n v="30"/>
    <n v="12"/>
    <x v="2"/>
    <n v="0.41666666666666669"/>
    <x v="1"/>
    <n v="3"/>
    <x v="1"/>
    <n v="0"/>
    <n v="1"/>
    <n v="1"/>
    <x v="0"/>
  </r>
  <r>
    <n v="47"/>
    <n v="1048"/>
    <s v="V1"/>
    <n v="60"/>
    <n v="48"/>
    <x v="3"/>
    <n v="0.125"/>
    <x v="4"/>
    <n v="1"/>
    <x v="0"/>
    <n v="0"/>
    <n v="0"/>
    <n v="1"/>
    <x v="1"/>
  </r>
  <r>
    <n v="48"/>
    <n v="1049"/>
    <s v="V2"/>
    <n v="30"/>
    <n v="22"/>
    <x v="5"/>
    <n v="9.0909090909090912E-2"/>
    <x v="6"/>
    <n v="3"/>
    <x v="0"/>
    <n v="0"/>
    <n v="0"/>
    <n v="0"/>
    <x v="1"/>
  </r>
  <r>
    <n v="49"/>
    <n v="1050"/>
    <s v="V1"/>
    <n v="30"/>
    <n v="14"/>
    <x v="6"/>
    <n v="7.1428571428571425E-2"/>
    <x v="2"/>
    <n v="0"/>
    <x v="1"/>
    <n v="0"/>
    <n v="0"/>
    <n v="1"/>
    <x v="1"/>
  </r>
  <r>
    <n v="50"/>
    <n v="1051"/>
    <s v="V1"/>
    <n v="45"/>
    <n v="19"/>
    <x v="5"/>
    <n v="0.10526315789473684"/>
    <x v="1"/>
    <n v="1"/>
    <x v="0"/>
    <n v="0"/>
    <n v="0"/>
    <n v="0"/>
    <x v="1"/>
  </r>
  <r>
    <n v="51"/>
    <n v="1052"/>
    <s v="V2"/>
    <n v="60"/>
    <n v="46"/>
    <x v="0"/>
    <n v="0.17391304347826086"/>
    <x v="5"/>
    <n v="0"/>
    <x v="1"/>
    <n v="0"/>
    <n v="0"/>
    <n v="0"/>
    <x v="1"/>
  </r>
  <r>
    <n v="52"/>
    <n v="1053"/>
    <s v="V2"/>
    <n v="30"/>
    <n v="16"/>
    <x v="0"/>
    <n v="0.5"/>
    <x v="3"/>
    <n v="4"/>
    <x v="1"/>
    <n v="0"/>
    <n v="1"/>
    <n v="0"/>
    <x v="0"/>
  </r>
  <r>
    <n v="53"/>
    <n v="1054"/>
    <s v="V1"/>
    <n v="45"/>
    <n v="22"/>
    <x v="4"/>
    <n v="0.18181818181818182"/>
    <x v="3"/>
    <n v="2"/>
    <x v="0"/>
    <n v="0"/>
    <n v="0"/>
    <n v="1"/>
    <x v="1"/>
  </r>
  <r>
    <n v="54"/>
    <n v="1055"/>
    <s v="V1"/>
    <n v="30"/>
    <n v="18"/>
    <x v="6"/>
    <n v="5.5555555555555552E-2"/>
    <x v="4"/>
    <n v="0"/>
    <x v="1"/>
    <n v="0"/>
    <n v="0"/>
    <n v="0"/>
    <x v="1"/>
  </r>
  <r>
    <n v="55"/>
    <n v="1056"/>
    <s v="V3"/>
    <n v="45"/>
    <n v="39"/>
    <x v="0"/>
    <n v="0.20512820512820512"/>
    <x v="6"/>
    <n v="0"/>
    <x v="1"/>
    <n v="0"/>
    <n v="0"/>
    <n v="0"/>
    <x v="0"/>
  </r>
  <r>
    <n v="56"/>
    <n v="1057"/>
    <s v="V2"/>
    <n v="45"/>
    <n v="39"/>
    <x v="6"/>
    <n v="2.564102564102564E-2"/>
    <x v="3"/>
    <n v="2"/>
    <x v="0"/>
    <n v="0"/>
    <n v="0"/>
    <n v="1"/>
    <x v="1"/>
  </r>
  <r>
    <n v="57"/>
    <n v="1058"/>
    <s v="V3"/>
    <n v="60"/>
    <n v="55"/>
    <x v="4"/>
    <n v="7.2727272727272724E-2"/>
    <x v="2"/>
    <n v="0"/>
    <x v="1"/>
    <n v="1"/>
    <n v="0"/>
    <n v="1"/>
    <x v="1"/>
  </r>
  <r>
    <n v="58"/>
    <n v="1059"/>
    <s v="V1"/>
    <n v="30"/>
    <n v="12"/>
    <x v="6"/>
    <n v="8.3333333333333329E-2"/>
    <x v="1"/>
    <n v="1"/>
    <x v="1"/>
    <n v="0"/>
    <n v="0"/>
    <n v="1"/>
    <x v="1"/>
  </r>
  <r>
    <n v="59"/>
    <n v="1060"/>
    <s v="V1"/>
    <n v="45"/>
    <n v="37"/>
    <x v="7"/>
    <n v="0.1891891891891892"/>
    <x v="1"/>
    <n v="3"/>
    <x v="1"/>
    <n v="0"/>
    <n v="0"/>
    <n v="0"/>
    <x v="1"/>
  </r>
  <r>
    <n v="60"/>
    <n v="1061"/>
    <s v="V2"/>
    <n v="60"/>
    <n v="45"/>
    <x v="7"/>
    <n v="0.15555555555555556"/>
    <x v="3"/>
    <n v="1"/>
    <x v="1"/>
    <n v="0"/>
    <n v="0"/>
    <n v="1"/>
    <x v="1"/>
  </r>
  <r>
    <n v="61"/>
    <n v="1062"/>
    <s v="V3"/>
    <n v="30"/>
    <n v="30"/>
    <x v="2"/>
    <n v="0.16666666666666666"/>
    <x v="1"/>
    <n v="1"/>
    <x v="1"/>
    <n v="1"/>
    <n v="0"/>
    <n v="1"/>
    <x v="1"/>
  </r>
  <r>
    <n v="62"/>
    <n v="1063"/>
    <s v="V1"/>
    <n v="45"/>
    <n v="21"/>
    <x v="5"/>
    <n v="9.5238095238095233E-2"/>
    <x v="3"/>
    <n v="1"/>
    <x v="1"/>
    <n v="0"/>
    <n v="0"/>
    <n v="1"/>
    <x v="1"/>
  </r>
  <r>
    <n v="63"/>
    <n v="1064"/>
    <s v="V3"/>
    <n v="60"/>
    <n v="28"/>
    <x v="3"/>
    <n v="0.21428571428571427"/>
    <x v="6"/>
    <n v="4"/>
    <x v="0"/>
    <n v="0"/>
    <n v="0"/>
    <n v="0"/>
    <x v="0"/>
  </r>
  <r>
    <n v="64"/>
    <n v="1065"/>
    <s v="V1"/>
    <n v="45"/>
    <n v="28"/>
    <x v="1"/>
    <n v="0.10714285714285714"/>
    <x v="2"/>
    <n v="3"/>
    <x v="1"/>
    <n v="0"/>
    <n v="0"/>
    <n v="1"/>
    <x v="1"/>
  </r>
  <r>
    <n v="65"/>
    <n v="1066"/>
    <s v="V3"/>
    <n v="60"/>
    <n v="37"/>
    <x v="1"/>
    <n v="8.1081081081081086E-2"/>
    <x v="1"/>
    <n v="3"/>
    <x v="1"/>
    <n v="0"/>
    <n v="0"/>
    <n v="0"/>
    <x v="1"/>
  </r>
  <r>
    <n v="66"/>
    <n v="1067"/>
    <s v="V3"/>
    <n v="60"/>
    <n v="27"/>
    <x v="2"/>
    <n v="0.18518518518518517"/>
    <x v="3"/>
    <n v="3"/>
    <x v="0"/>
    <n v="0"/>
    <n v="0"/>
    <n v="1"/>
    <x v="1"/>
  </r>
  <r>
    <n v="67"/>
    <n v="1068"/>
    <s v="V2"/>
    <n v="60"/>
    <n v="40"/>
    <x v="2"/>
    <n v="0.125"/>
    <x v="3"/>
    <n v="4"/>
    <x v="1"/>
    <n v="0"/>
    <n v="0"/>
    <n v="1"/>
    <x v="1"/>
  </r>
  <r>
    <n v="68"/>
    <n v="1069"/>
    <s v="V2"/>
    <n v="60"/>
    <n v="60"/>
    <x v="2"/>
    <n v="8.3333333333333329E-2"/>
    <x v="3"/>
    <n v="1"/>
    <x v="0"/>
    <n v="1"/>
    <n v="0"/>
    <n v="0"/>
    <x v="1"/>
  </r>
  <r>
    <n v="69"/>
    <n v="1070"/>
    <s v="V1"/>
    <n v="45"/>
    <n v="27"/>
    <x v="5"/>
    <n v="7.407407407407407E-2"/>
    <x v="4"/>
    <n v="0"/>
    <x v="1"/>
    <n v="0"/>
    <n v="0"/>
    <n v="1"/>
    <x v="1"/>
  </r>
  <r>
    <n v="70"/>
    <n v="1071"/>
    <s v="V1"/>
    <n v="30"/>
    <n v="16"/>
    <x v="7"/>
    <n v="0.4375"/>
    <x v="4"/>
    <n v="3"/>
    <x v="0"/>
    <n v="0"/>
    <n v="0"/>
    <n v="0"/>
    <x v="0"/>
  </r>
  <r>
    <n v="71"/>
    <n v="1072"/>
    <s v="V2"/>
    <n v="30"/>
    <n v="12"/>
    <x v="4"/>
    <n v="0.33333333333333331"/>
    <x v="6"/>
    <n v="1"/>
    <x v="0"/>
    <n v="0"/>
    <n v="1"/>
    <n v="1"/>
    <x v="0"/>
  </r>
  <r>
    <n v="72"/>
    <n v="1073"/>
    <s v="V2"/>
    <n v="30"/>
    <n v="29"/>
    <x v="0"/>
    <n v="0.27586206896551724"/>
    <x v="0"/>
    <n v="3"/>
    <x v="1"/>
    <n v="1"/>
    <n v="0"/>
    <n v="0"/>
    <x v="0"/>
  </r>
  <r>
    <n v="73"/>
    <n v="1074"/>
    <s v="V3"/>
    <n v="30"/>
    <n v="16"/>
    <x v="6"/>
    <n v="6.25E-2"/>
    <x v="5"/>
    <n v="0"/>
    <x v="1"/>
    <n v="0"/>
    <n v="0"/>
    <n v="1"/>
    <x v="1"/>
  </r>
  <r>
    <n v="74"/>
    <n v="1075"/>
    <s v="V3"/>
    <n v="45"/>
    <n v="21"/>
    <x v="0"/>
    <n v="0.38095238095238093"/>
    <x v="3"/>
    <n v="2"/>
    <x v="0"/>
    <n v="0"/>
    <n v="1"/>
    <n v="0"/>
    <x v="0"/>
  </r>
  <r>
    <n v="75"/>
    <n v="1076"/>
    <s v="V2"/>
    <n v="30"/>
    <n v="12"/>
    <x v="2"/>
    <n v="0.41666666666666669"/>
    <x v="4"/>
    <n v="4"/>
    <x v="0"/>
    <n v="0"/>
    <n v="0"/>
    <n v="1"/>
    <x v="0"/>
  </r>
  <r>
    <n v="76"/>
    <n v="1077"/>
    <s v="V2"/>
    <n v="45"/>
    <n v="31"/>
    <x v="2"/>
    <n v="0.16129032258064516"/>
    <x v="0"/>
    <n v="0"/>
    <x v="1"/>
    <n v="0"/>
    <n v="0"/>
    <n v="0"/>
    <x v="1"/>
  </r>
  <r>
    <n v="77"/>
    <n v="1078"/>
    <s v="V2"/>
    <n v="60"/>
    <n v="52"/>
    <x v="0"/>
    <n v="0.15384615384615385"/>
    <x v="6"/>
    <n v="1"/>
    <x v="1"/>
    <n v="0"/>
    <n v="0"/>
    <n v="0"/>
    <x v="1"/>
  </r>
  <r>
    <n v="78"/>
    <n v="1079"/>
    <s v="V3"/>
    <n v="30"/>
    <n v="16"/>
    <x v="3"/>
    <n v="0.375"/>
    <x v="1"/>
    <n v="0"/>
    <x v="1"/>
    <n v="0"/>
    <n v="0"/>
    <n v="0"/>
    <x v="0"/>
  </r>
  <r>
    <n v="79"/>
    <n v="1080"/>
    <s v="V2"/>
    <n v="45"/>
    <n v="32"/>
    <x v="0"/>
    <n v="0.25"/>
    <x v="0"/>
    <n v="0"/>
    <x v="1"/>
    <n v="0"/>
    <n v="0"/>
    <n v="0"/>
    <x v="0"/>
  </r>
  <r>
    <n v="80"/>
    <n v="1081"/>
    <s v="V3"/>
    <n v="45"/>
    <n v="18"/>
    <x v="5"/>
    <n v="0.1111111111111111"/>
    <x v="2"/>
    <n v="2"/>
    <x v="1"/>
    <n v="0"/>
    <n v="0"/>
    <n v="1"/>
    <x v="1"/>
  </r>
  <r>
    <n v="81"/>
    <n v="1082"/>
    <s v="V3"/>
    <n v="60"/>
    <n v="57"/>
    <x v="0"/>
    <n v="0.14035087719298245"/>
    <x v="5"/>
    <n v="2"/>
    <x v="0"/>
    <n v="1"/>
    <n v="0"/>
    <n v="1"/>
    <x v="1"/>
  </r>
  <r>
    <n v="82"/>
    <n v="1083"/>
    <s v="V3"/>
    <n v="30"/>
    <n v="26"/>
    <x v="0"/>
    <n v="0.30769230769230771"/>
    <x v="3"/>
    <n v="4"/>
    <x v="1"/>
    <n v="0"/>
    <n v="1"/>
    <n v="0"/>
    <x v="0"/>
  </r>
  <r>
    <n v="83"/>
    <n v="1084"/>
    <s v="V2"/>
    <n v="30"/>
    <n v="26"/>
    <x v="7"/>
    <n v="0.26923076923076922"/>
    <x v="4"/>
    <n v="3"/>
    <x v="1"/>
    <n v="0"/>
    <n v="0"/>
    <n v="1"/>
    <x v="0"/>
  </r>
  <r>
    <n v="84"/>
    <n v="1085"/>
    <s v="V2"/>
    <n v="30"/>
    <n v="24"/>
    <x v="3"/>
    <n v="0.25"/>
    <x v="0"/>
    <n v="2"/>
    <x v="1"/>
    <n v="0"/>
    <n v="0"/>
    <n v="0"/>
    <x v="0"/>
  </r>
  <r>
    <n v="85"/>
    <n v="1086"/>
    <s v="V3"/>
    <n v="30"/>
    <n v="12"/>
    <x v="1"/>
    <n v="0.25"/>
    <x v="1"/>
    <n v="1"/>
    <x v="1"/>
    <n v="0"/>
    <n v="0"/>
    <n v="0"/>
    <x v="0"/>
  </r>
  <r>
    <n v="86"/>
    <n v="1087"/>
    <s v="V2"/>
    <n v="30"/>
    <n v="22"/>
    <x v="6"/>
    <n v="4.5454545454545456E-2"/>
    <x v="0"/>
    <n v="4"/>
    <x v="1"/>
    <n v="0"/>
    <n v="0"/>
    <n v="0"/>
    <x v="1"/>
  </r>
  <r>
    <n v="87"/>
    <n v="1088"/>
    <s v="V1"/>
    <n v="45"/>
    <n v="20"/>
    <x v="7"/>
    <n v="0.35"/>
    <x v="2"/>
    <n v="1"/>
    <x v="0"/>
    <n v="0"/>
    <n v="1"/>
    <n v="1"/>
    <x v="0"/>
  </r>
  <r>
    <n v="88"/>
    <n v="1089"/>
    <s v="V2"/>
    <n v="60"/>
    <n v="46"/>
    <x v="4"/>
    <n v="8.6956521739130432E-2"/>
    <x v="1"/>
    <n v="2"/>
    <x v="0"/>
    <n v="0"/>
    <n v="0"/>
    <n v="0"/>
    <x v="1"/>
  </r>
  <r>
    <n v="89"/>
    <n v="1090"/>
    <s v="V3"/>
    <n v="60"/>
    <n v="60"/>
    <x v="2"/>
    <n v="8.3333333333333329E-2"/>
    <x v="1"/>
    <n v="0"/>
    <x v="1"/>
    <n v="1"/>
    <n v="0"/>
    <n v="1"/>
    <x v="1"/>
  </r>
  <r>
    <n v="90"/>
    <n v="1091"/>
    <s v="V2"/>
    <n v="30"/>
    <n v="29"/>
    <x v="4"/>
    <n v="0.13793103448275862"/>
    <x v="6"/>
    <n v="4"/>
    <x v="1"/>
    <n v="1"/>
    <n v="0"/>
    <n v="0"/>
    <x v="1"/>
  </r>
  <r>
    <n v="91"/>
    <n v="1092"/>
    <s v="V3"/>
    <n v="45"/>
    <n v="45"/>
    <x v="1"/>
    <n v="6.6666666666666666E-2"/>
    <x v="2"/>
    <n v="3"/>
    <x v="1"/>
    <n v="1"/>
    <n v="0"/>
    <n v="1"/>
    <x v="1"/>
  </r>
  <r>
    <n v="92"/>
    <n v="1093"/>
    <s v="V2"/>
    <n v="30"/>
    <n v="22"/>
    <x v="7"/>
    <n v="0.31818181818181818"/>
    <x v="6"/>
    <n v="3"/>
    <x v="1"/>
    <n v="0"/>
    <n v="1"/>
    <n v="0"/>
    <x v="0"/>
  </r>
  <r>
    <n v="93"/>
    <n v="1094"/>
    <s v="V1"/>
    <n v="30"/>
    <n v="30"/>
    <x v="5"/>
    <n v="6.6666666666666666E-2"/>
    <x v="6"/>
    <n v="4"/>
    <x v="1"/>
    <n v="1"/>
    <n v="0"/>
    <n v="0"/>
    <x v="1"/>
  </r>
  <r>
    <n v="94"/>
    <n v="1095"/>
    <s v="V2"/>
    <n v="45"/>
    <n v="19"/>
    <x v="4"/>
    <n v="0.21052631578947367"/>
    <x v="6"/>
    <n v="2"/>
    <x v="0"/>
    <n v="0"/>
    <n v="0"/>
    <n v="0"/>
    <x v="0"/>
  </r>
  <r>
    <n v="95"/>
    <n v="1096"/>
    <s v="V1"/>
    <n v="45"/>
    <n v="18"/>
    <x v="3"/>
    <n v="0.33333333333333331"/>
    <x v="0"/>
    <n v="2"/>
    <x v="0"/>
    <n v="0"/>
    <n v="0"/>
    <n v="0"/>
    <x v="0"/>
  </r>
  <r>
    <n v="96"/>
    <n v="1097"/>
    <s v="V3"/>
    <n v="30"/>
    <n v="20"/>
    <x v="6"/>
    <n v="0.05"/>
    <x v="5"/>
    <n v="1"/>
    <x v="0"/>
    <n v="0"/>
    <n v="0"/>
    <n v="1"/>
    <x v="1"/>
  </r>
  <r>
    <n v="97"/>
    <n v="1098"/>
    <s v="V2"/>
    <n v="30"/>
    <n v="20"/>
    <x v="6"/>
    <n v="0.05"/>
    <x v="0"/>
    <n v="4"/>
    <x v="1"/>
    <n v="0"/>
    <n v="0"/>
    <n v="0"/>
    <x v="1"/>
  </r>
  <r>
    <n v="98"/>
    <n v="1099"/>
    <s v="V2"/>
    <n v="30"/>
    <n v="28"/>
    <x v="4"/>
    <n v="0.14285714285714285"/>
    <x v="3"/>
    <n v="1"/>
    <x v="1"/>
    <n v="1"/>
    <n v="0"/>
    <n v="0"/>
    <x v="1"/>
  </r>
  <r>
    <n v="99"/>
    <n v="1100"/>
    <s v="V2"/>
    <n v="30"/>
    <n v="15"/>
    <x v="2"/>
    <n v="0.33333333333333331"/>
    <x v="1"/>
    <n v="3"/>
    <x v="1"/>
    <n v="0"/>
    <n v="0"/>
    <n v="1"/>
    <x v="0"/>
  </r>
  <r>
    <n v="100"/>
    <n v="1101"/>
    <s v="V1"/>
    <n v="60"/>
    <n v="46"/>
    <x v="7"/>
    <n v="0.15217391304347827"/>
    <x v="1"/>
    <n v="3"/>
    <x v="1"/>
    <n v="0"/>
    <n v="0"/>
    <n v="1"/>
    <x v="1"/>
  </r>
  <r>
    <n v="101"/>
    <n v="1102"/>
    <s v="V2"/>
    <n v="60"/>
    <n v="32"/>
    <x v="6"/>
    <n v="3.125E-2"/>
    <x v="6"/>
    <n v="2"/>
    <x v="1"/>
    <n v="0"/>
    <n v="0"/>
    <n v="0"/>
    <x v="1"/>
  </r>
  <r>
    <n v="102"/>
    <n v="1103"/>
    <s v="V2"/>
    <n v="30"/>
    <n v="26"/>
    <x v="5"/>
    <n v="7.6923076923076927E-2"/>
    <x v="1"/>
    <n v="3"/>
    <x v="0"/>
    <n v="0"/>
    <n v="0"/>
    <n v="1"/>
    <x v="1"/>
  </r>
  <r>
    <n v="103"/>
    <n v="1104"/>
    <s v="V1"/>
    <n v="60"/>
    <n v="58"/>
    <x v="5"/>
    <n v="3.4482758620689655E-2"/>
    <x v="2"/>
    <n v="2"/>
    <x v="1"/>
    <n v="1"/>
    <n v="0"/>
    <n v="1"/>
    <x v="1"/>
  </r>
  <r>
    <n v="104"/>
    <n v="1105"/>
    <s v="V3"/>
    <n v="45"/>
    <n v="37"/>
    <x v="2"/>
    <n v="0.13513513513513514"/>
    <x v="5"/>
    <n v="0"/>
    <x v="1"/>
    <n v="0"/>
    <n v="0"/>
    <n v="1"/>
    <x v="1"/>
  </r>
  <r>
    <n v="105"/>
    <n v="1106"/>
    <s v="V2"/>
    <n v="30"/>
    <n v="16"/>
    <x v="0"/>
    <n v="0.5"/>
    <x v="4"/>
    <n v="4"/>
    <x v="0"/>
    <n v="0"/>
    <n v="0"/>
    <n v="1"/>
    <x v="0"/>
  </r>
  <r>
    <n v="106"/>
    <n v="1107"/>
    <s v="V3"/>
    <n v="60"/>
    <n v="55"/>
    <x v="2"/>
    <n v="9.0909090909090912E-2"/>
    <x v="2"/>
    <n v="3"/>
    <x v="1"/>
    <n v="1"/>
    <n v="0"/>
    <n v="1"/>
    <x v="1"/>
  </r>
  <r>
    <n v="107"/>
    <n v="1108"/>
    <s v="V2"/>
    <n v="60"/>
    <n v="58"/>
    <x v="6"/>
    <n v="1.7241379310344827E-2"/>
    <x v="5"/>
    <n v="0"/>
    <x v="1"/>
    <n v="1"/>
    <n v="0"/>
    <n v="1"/>
    <x v="1"/>
  </r>
  <r>
    <n v="108"/>
    <n v="1109"/>
    <s v="V3"/>
    <n v="45"/>
    <n v="39"/>
    <x v="7"/>
    <n v="0.17948717948717949"/>
    <x v="1"/>
    <n v="1"/>
    <x v="1"/>
    <n v="0"/>
    <n v="0"/>
    <n v="1"/>
    <x v="1"/>
  </r>
  <r>
    <n v="109"/>
    <n v="1110"/>
    <s v="V3"/>
    <n v="45"/>
    <n v="44"/>
    <x v="1"/>
    <n v="6.8181818181818177E-2"/>
    <x v="4"/>
    <n v="0"/>
    <x v="1"/>
    <n v="1"/>
    <n v="0"/>
    <n v="1"/>
    <x v="1"/>
  </r>
  <r>
    <n v="110"/>
    <n v="1111"/>
    <s v="V2"/>
    <n v="30"/>
    <n v="28"/>
    <x v="2"/>
    <n v="0.17857142857142858"/>
    <x v="4"/>
    <n v="1"/>
    <x v="1"/>
    <n v="1"/>
    <n v="0"/>
    <n v="0"/>
    <x v="1"/>
  </r>
  <r>
    <n v="111"/>
    <n v="1112"/>
    <s v="V3"/>
    <n v="30"/>
    <n v="18"/>
    <x v="3"/>
    <n v="0.33333333333333331"/>
    <x v="4"/>
    <n v="2"/>
    <x v="0"/>
    <n v="0"/>
    <n v="1"/>
    <n v="0"/>
    <x v="0"/>
  </r>
  <r>
    <n v="112"/>
    <n v="1113"/>
    <s v="V2"/>
    <n v="30"/>
    <n v="26"/>
    <x v="6"/>
    <n v="3.8461538461538464E-2"/>
    <x v="4"/>
    <n v="4"/>
    <x v="1"/>
    <n v="0"/>
    <n v="0"/>
    <n v="1"/>
    <x v="1"/>
  </r>
  <r>
    <n v="113"/>
    <n v="1114"/>
    <s v="V1"/>
    <n v="60"/>
    <n v="42"/>
    <x v="6"/>
    <n v="2.3809523809523808E-2"/>
    <x v="2"/>
    <n v="4"/>
    <x v="1"/>
    <n v="0"/>
    <n v="0"/>
    <n v="1"/>
    <x v="1"/>
  </r>
  <r>
    <n v="114"/>
    <n v="1115"/>
    <s v="V3"/>
    <n v="60"/>
    <n v="35"/>
    <x v="1"/>
    <n v="8.5714285714285715E-2"/>
    <x v="6"/>
    <n v="2"/>
    <x v="1"/>
    <n v="0"/>
    <n v="0"/>
    <n v="0"/>
    <x v="1"/>
  </r>
  <r>
    <n v="115"/>
    <n v="1116"/>
    <s v="V1"/>
    <n v="30"/>
    <n v="22"/>
    <x v="3"/>
    <n v="0.27272727272727271"/>
    <x v="2"/>
    <n v="4"/>
    <x v="0"/>
    <n v="0"/>
    <n v="0"/>
    <n v="1"/>
    <x v="0"/>
  </r>
  <r>
    <n v="116"/>
    <n v="1117"/>
    <s v="V1"/>
    <n v="30"/>
    <n v="16"/>
    <x v="3"/>
    <n v="0.375"/>
    <x v="1"/>
    <n v="0"/>
    <x v="1"/>
    <n v="0"/>
    <n v="0"/>
    <n v="1"/>
    <x v="0"/>
  </r>
  <r>
    <n v="117"/>
    <n v="1118"/>
    <s v="V1"/>
    <n v="60"/>
    <n v="55"/>
    <x v="2"/>
    <n v="9.0909090909090912E-2"/>
    <x v="1"/>
    <n v="2"/>
    <x v="1"/>
    <n v="1"/>
    <n v="0"/>
    <n v="1"/>
    <x v="1"/>
  </r>
  <r>
    <n v="118"/>
    <n v="1119"/>
    <s v="V3"/>
    <n v="60"/>
    <n v="55"/>
    <x v="6"/>
    <n v="1.8181818181818181E-2"/>
    <x v="1"/>
    <n v="0"/>
    <x v="1"/>
    <n v="1"/>
    <n v="0"/>
    <n v="1"/>
    <x v="1"/>
  </r>
  <r>
    <n v="119"/>
    <n v="1120"/>
    <s v="V2"/>
    <n v="30"/>
    <n v="21"/>
    <x v="1"/>
    <n v="0.14285714285714285"/>
    <x v="4"/>
    <n v="3"/>
    <x v="0"/>
    <n v="0"/>
    <n v="0"/>
    <n v="1"/>
    <x v="1"/>
  </r>
  <r>
    <n v="120"/>
    <n v="1121"/>
    <s v="V1"/>
    <n v="60"/>
    <n v="59"/>
    <x v="2"/>
    <n v="8.4745762711864403E-2"/>
    <x v="0"/>
    <n v="4"/>
    <x v="0"/>
    <n v="1"/>
    <n v="0"/>
    <n v="1"/>
    <x v="1"/>
  </r>
  <r>
    <n v="121"/>
    <n v="1122"/>
    <s v="V3"/>
    <n v="60"/>
    <n v="43"/>
    <x v="7"/>
    <n v="0.16279069767441862"/>
    <x v="3"/>
    <n v="2"/>
    <x v="1"/>
    <n v="0"/>
    <n v="0"/>
    <n v="1"/>
    <x v="1"/>
  </r>
  <r>
    <n v="122"/>
    <n v="1123"/>
    <s v="V1"/>
    <n v="60"/>
    <n v="44"/>
    <x v="3"/>
    <n v="0.13636363636363635"/>
    <x v="2"/>
    <n v="1"/>
    <x v="1"/>
    <n v="0"/>
    <n v="0"/>
    <n v="1"/>
    <x v="1"/>
  </r>
  <r>
    <n v="123"/>
    <n v="1124"/>
    <s v="V2"/>
    <n v="45"/>
    <n v="25"/>
    <x v="1"/>
    <n v="0.12"/>
    <x v="3"/>
    <n v="2"/>
    <x v="0"/>
    <n v="0"/>
    <n v="0"/>
    <n v="1"/>
    <x v="1"/>
  </r>
  <r>
    <n v="124"/>
    <n v="1125"/>
    <s v="V1"/>
    <n v="30"/>
    <n v="12"/>
    <x v="5"/>
    <n v="0.16666666666666666"/>
    <x v="3"/>
    <n v="0"/>
    <x v="1"/>
    <n v="0"/>
    <n v="0"/>
    <n v="1"/>
    <x v="1"/>
  </r>
  <r>
    <n v="125"/>
    <n v="1126"/>
    <s v="V1"/>
    <n v="30"/>
    <n v="14"/>
    <x v="6"/>
    <n v="7.1428571428571425E-2"/>
    <x v="0"/>
    <n v="3"/>
    <x v="0"/>
    <n v="0"/>
    <n v="0"/>
    <n v="0"/>
    <x v="1"/>
  </r>
  <r>
    <n v="126"/>
    <n v="1127"/>
    <s v="V3"/>
    <n v="45"/>
    <n v="28"/>
    <x v="2"/>
    <n v="0.17857142857142858"/>
    <x v="4"/>
    <n v="0"/>
    <x v="1"/>
    <n v="0"/>
    <n v="0"/>
    <n v="0"/>
    <x v="1"/>
  </r>
  <r>
    <n v="127"/>
    <n v="1128"/>
    <s v="V1"/>
    <n v="45"/>
    <n v="32"/>
    <x v="0"/>
    <n v="0.25"/>
    <x v="1"/>
    <n v="3"/>
    <x v="0"/>
    <n v="0"/>
    <n v="0"/>
    <n v="1"/>
    <x v="0"/>
  </r>
  <r>
    <n v="128"/>
    <n v="1129"/>
    <s v="V3"/>
    <n v="45"/>
    <n v="26"/>
    <x v="6"/>
    <n v="3.8461538461538464E-2"/>
    <x v="1"/>
    <n v="4"/>
    <x v="0"/>
    <n v="0"/>
    <n v="0"/>
    <n v="0"/>
    <x v="1"/>
  </r>
  <r>
    <n v="129"/>
    <n v="1130"/>
    <s v="V3"/>
    <n v="30"/>
    <n v="14"/>
    <x v="6"/>
    <n v="7.1428571428571425E-2"/>
    <x v="0"/>
    <n v="4"/>
    <x v="0"/>
    <n v="0"/>
    <n v="0"/>
    <n v="0"/>
    <x v="1"/>
  </r>
  <r>
    <n v="130"/>
    <n v="1131"/>
    <s v="V2"/>
    <n v="45"/>
    <n v="36"/>
    <x v="7"/>
    <n v="0.19444444444444445"/>
    <x v="2"/>
    <n v="1"/>
    <x v="0"/>
    <n v="0"/>
    <n v="0"/>
    <n v="1"/>
    <x v="1"/>
  </r>
  <r>
    <n v="131"/>
    <n v="1132"/>
    <s v="V2"/>
    <n v="60"/>
    <n v="41"/>
    <x v="7"/>
    <n v="0.17073170731707318"/>
    <x v="1"/>
    <n v="3"/>
    <x v="0"/>
    <n v="0"/>
    <n v="0"/>
    <n v="0"/>
    <x v="1"/>
  </r>
  <r>
    <n v="132"/>
    <n v="1133"/>
    <s v="V3"/>
    <n v="60"/>
    <n v="51"/>
    <x v="3"/>
    <n v="0.11764705882352941"/>
    <x v="1"/>
    <n v="3"/>
    <x v="0"/>
    <n v="0"/>
    <n v="0"/>
    <n v="1"/>
    <x v="1"/>
  </r>
  <r>
    <n v="133"/>
    <n v="1134"/>
    <s v="V1"/>
    <n v="45"/>
    <n v="22"/>
    <x v="4"/>
    <n v="0.18181818181818182"/>
    <x v="2"/>
    <n v="3"/>
    <x v="1"/>
    <n v="0"/>
    <n v="0"/>
    <n v="1"/>
    <x v="1"/>
  </r>
  <r>
    <n v="134"/>
    <n v="1135"/>
    <s v="V3"/>
    <n v="60"/>
    <n v="40"/>
    <x v="3"/>
    <n v="0.15"/>
    <x v="6"/>
    <n v="0"/>
    <x v="1"/>
    <n v="0"/>
    <n v="0"/>
    <n v="0"/>
    <x v="1"/>
  </r>
  <r>
    <n v="135"/>
    <n v="1136"/>
    <s v="V1"/>
    <n v="45"/>
    <n v="27"/>
    <x v="7"/>
    <n v="0.25925925925925924"/>
    <x v="3"/>
    <n v="0"/>
    <x v="1"/>
    <n v="0"/>
    <n v="0"/>
    <n v="0"/>
    <x v="0"/>
  </r>
  <r>
    <n v="136"/>
    <n v="1137"/>
    <s v="V1"/>
    <n v="60"/>
    <n v="53"/>
    <x v="0"/>
    <n v="0.15094339622641509"/>
    <x v="3"/>
    <n v="4"/>
    <x v="1"/>
    <n v="0"/>
    <n v="0"/>
    <n v="0"/>
    <x v="1"/>
  </r>
  <r>
    <n v="137"/>
    <n v="1138"/>
    <s v="V2"/>
    <n v="30"/>
    <n v="27"/>
    <x v="2"/>
    <n v="0.18518518518518517"/>
    <x v="2"/>
    <n v="0"/>
    <x v="1"/>
    <n v="0"/>
    <n v="0"/>
    <n v="1"/>
    <x v="1"/>
  </r>
  <r>
    <n v="138"/>
    <n v="1139"/>
    <s v="V3"/>
    <n v="30"/>
    <n v="23"/>
    <x v="5"/>
    <n v="8.6956521739130432E-2"/>
    <x v="5"/>
    <n v="2"/>
    <x v="0"/>
    <n v="0"/>
    <n v="0"/>
    <n v="0"/>
    <x v="1"/>
  </r>
  <r>
    <n v="139"/>
    <n v="1140"/>
    <s v="V1"/>
    <n v="45"/>
    <n v="20"/>
    <x v="6"/>
    <n v="0.05"/>
    <x v="2"/>
    <n v="0"/>
    <x v="1"/>
    <n v="0"/>
    <n v="0"/>
    <n v="1"/>
    <x v="1"/>
  </r>
  <r>
    <n v="140"/>
    <n v="1141"/>
    <s v="V1"/>
    <n v="60"/>
    <n v="48"/>
    <x v="6"/>
    <n v="2.0833333333333332E-2"/>
    <x v="0"/>
    <n v="4"/>
    <x v="0"/>
    <n v="0"/>
    <n v="0"/>
    <n v="0"/>
    <x v="1"/>
  </r>
  <r>
    <n v="141"/>
    <n v="1142"/>
    <s v="V1"/>
    <n v="30"/>
    <n v="30"/>
    <x v="0"/>
    <n v="0.26666666666666666"/>
    <x v="0"/>
    <n v="1"/>
    <x v="0"/>
    <n v="1"/>
    <n v="0"/>
    <n v="0"/>
    <x v="0"/>
  </r>
  <r>
    <n v="142"/>
    <n v="1143"/>
    <s v="V1"/>
    <n v="45"/>
    <n v="33"/>
    <x v="7"/>
    <n v="0.21212121212121213"/>
    <x v="3"/>
    <n v="3"/>
    <x v="1"/>
    <n v="0"/>
    <n v="0"/>
    <n v="1"/>
    <x v="0"/>
  </r>
  <r>
    <n v="143"/>
    <n v="1144"/>
    <s v="V3"/>
    <n v="30"/>
    <n v="17"/>
    <x v="7"/>
    <n v="0.41176470588235292"/>
    <x v="4"/>
    <n v="3"/>
    <x v="0"/>
    <n v="0"/>
    <n v="1"/>
    <n v="0"/>
    <x v="0"/>
  </r>
  <r>
    <n v="144"/>
    <n v="1145"/>
    <s v="V2"/>
    <n v="45"/>
    <n v="37"/>
    <x v="3"/>
    <n v="0.16216216216216217"/>
    <x v="1"/>
    <n v="3"/>
    <x v="1"/>
    <n v="0"/>
    <n v="0"/>
    <n v="1"/>
    <x v="1"/>
  </r>
  <r>
    <n v="145"/>
    <n v="1146"/>
    <s v="V2"/>
    <n v="60"/>
    <n v="34"/>
    <x v="0"/>
    <n v="0.23529411764705882"/>
    <x v="3"/>
    <n v="0"/>
    <x v="1"/>
    <n v="0"/>
    <n v="0"/>
    <n v="0"/>
    <x v="0"/>
  </r>
  <r>
    <n v="146"/>
    <n v="1147"/>
    <s v="V2"/>
    <n v="30"/>
    <n v="17"/>
    <x v="5"/>
    <n v="0.11764705882352941"/>
    <x v="1"/>
    <n v="2"/>
    <x v="1"/>
    <n v="0"/>
    <n v="0"/>
    <n v="1"/>
    <x v="1"/>
  </r>
  <r>
    <n v="147"/>
    <n v="1148"/>
    <s v="V3"/>
    <n v="30"/>
    <n v="18"/>
    <x v="1"/>
    <n v="0.16666666666666666"/>
    <x v="3"/>
    <n v="2"/>
    <x v="1"/>
    <n v="0"/>
    <n v="0"/>
    <n v="1"/>
    <x v="1"/>
  </r>
  <r>
    <n v="148"/>
    <n v="1149"/>
    <s v="V3"/>
    <n v="60"/>
    <n v="59"/>
    <x v="3"/>
    <n v="0.10169491525423729"/>
    <x v="4"/>
    <n v="4"/>
    <x v="0"/>
    <n v="1"/>
    <n v="0"/>
    <n v="1"/>
    <x v="1"/>
  </r>
  <r>
    <n v="149"/>
    <n v="1150"/>
    <s v="V2"/>
    <n v="60"/>
    <n v="33"/>
    <x v="1"/>
    <n v="9.0909090909090912E-2"/>
    <x v="5"/>
    <n v="0"/>
    <x v="1"/>
    <n v="0"/>
    <n v="0"/>
    <n v="0"/>
    <x v="1"/>
  </r>
  <r>
    <n v="150"/>
    <n v="1151"/>
    <s v="V3"/>
    <n v="60"/>
    <n v="34"/>
    <x v="3"/>
    <n v="0.17647058823529413"/>
    <x v="6"/>
    <n v="0"/>
    <x v="1"/>
    <n v="0"/>
    <n v="0"/>
    <n v="0"/>
    <x v="1"/>
  </r>
  <r>
    <n v="151"/>
    <n v="1152"/>
    <s v="V1"/>
    <n v="60"/>
    <n v="30"/>
    <x v="0"/>
    <n v="0.26666666666666666"/>
    <x v="4"/>
    <n v="2"/>
    <x v="1"/>
    <n v="0"/>
    <n v="0"/>
    <n v="0"/>
    <x v="0"/>
  </r>
  <r>
    <n v="152"/>
    <n v="1153"/>
    <s v="V3"/>
    <n v="45"/>
    <n v="20"/>
    <x v="0"/>
    <n v="0.4"/>
    <x v="2"/>
    <n v="1"/>
    <x v="1"/>
    <n v="0"/>
    <n v="0"/>
    <n v="1"/>
    <x v="0"/>
  </r>
  <r>
    <n v="153"/>
    <n v="1154"/>
    <s v="V2"/>
    <n v="60"/>
    <n v="49"/>
    <x v="3"/>
    <n v="0.12244897959183673"/>
    <x v="5"/>
    <n v="0"/>
    <x v="1"/>
    <n v="0"/>
    <n v="0"/>
    <n v="1"/>
    <x v="1"/>
  </r>
  <r>
    <n v="154"/>
    <n v="1155"/>
    <s v="V3"/>
    <n v="30"/>
    <n v="13"/>
    <x v="2"/>
    <n v="0.38461538461538464"/>
    <x v="6"/>
    <n v="0"/>
    <x v="1"/>
    <n v="0"/>
    <n v="0"/>
    <n v="0"/>
    <x v="0"/>
  </r>
  <r>
    <n v="155"/>
    <n v="1156"/>
    <s v="V1"/>
    <n v="30"/>
    <n v="19"/>
    <x v="1"/>
    <n v="0.15789473684210525"/>
    <x v="1"/>
    <n v="3"/>
    <x v="0"/>
    <n v="0"/>
    <n v="0"/>
    <n v="0"/>
    <x v="1"/>
  </r>
  <r>
    <n v="156"/>
    <n v="1157"/>
    <s v="V3"/>
    <n v="60"/>
    <n v="52"/>
    <x v="7"/>
    <n v="0.13461538461538461"/>
    <x v="5"/>
    <n v="1"/>
    <x v="1"/>
    <n v="0"/>
    <n v="0"/>
    <n v="1"/>
    <x v="1"/>
  </r>
  <r>
    <n v="157"/>
    <n v="1158"/>
    <s v="V1"/>
    <n v="45"/>
    <n v="38"/>
    <x v="0"/>
    <n v="0.21052631578947367"/>
    <x v="4"/>
    <n v="2"/>
    <x v="0"/>
    <n v="0"/>
    <n v="0"/>
    <n v="0"/>
    <x v="0"/>
  </r>
  <r>
    <n v="158"/>
    <n v="1159"/>
    <s v="V3"/>
    <n v="45"/>
    <n v="38"/>
    <x v="3"/>
    <n v="0.15789473684210525"/>
    <x v="2"/>
    <n v="0"/>
    <x v="1"/>
    <n v="0"/>
    <n v="0"/>
    <n v="1"/>
    <x v="1"/>
  </r>
  <r>
    <n v="159"/>
    <n v="1160"/>
    <s v="V3"/>
    <n v="30"/>
    <n v="18"/>
    <x v="2"/>
    <n v="0.27777777777777779"/>
    <x v="0"/>
    <n v="2"/>
    <x v="0"/>
    <n v="0"/>
    <n v="0"/>
    <n v="0"/>
    <x v="0"/>
  </r>
  <r>
    <n v="160"/>
    <n v="1161"/>
    <s v="V3"/>
    <n v="60"/>
    <n v="44"/>
    <x v="5"/>
    <n v="4.5454545454545456E-2"/>
    <x v="1"/>
    <n v="0"/>
    <x v="1"/>
    <n v="0"/>
    <n v="0"/>
    <n v="0"/>
    <x v="1"/>
  </r>
  <r>
    <n v="161"/>
    <n v="1162"/>
    <s v="V1"/>
    <n v="60"/>
    <n v="30"/>
    <x v="0"/>
    <n v="0.26666666666666666"/>
    <x v="4"/>
    <n v="4"/>
    <x v="1"/>
    <n v="0"/>
    <n v="0"/>
    <n v="1"/>
    <x v="0"/>
  </r>
  <r>
    <n v="162"/>
    <n v="1163"/>
    <s v="V1"/>
    <n v="60"/>
    <n v="42"/>
    <x v="3"/>
    <n v="0.14285714285714285"/>
    <x v="1"/>
    <n v="0"/>
    <x v="1"/>
    <n v="0"/>
    <n v="0"/>
    <n v="1"/>
    <x v="1"/>
  </r>
  <r>
    <n v="163"/>
    <n v="1164"/>
    <s v="V2"/>
    <n v="45"/>
    <n v="37"/>
    <x v="2"/>
    <n v="0.13513513513513514"/>
    <x v="1"/>
    <n v="3"/>
    <x v="1"/>
    <n v="0"/>
    <n v="0"/>
    <n v="1"/>
    <x v="1"/>
  </r>
  <r>
    <n v="164"/>
    <n v="1165"/>
    <s v="V3"/>
    <n v="60"/>
    <n v="37"/>
    <x v="2"/>
    <n v="0.13513513513513514"/>
    <x v="3"/>
    <n v="0"/>
    <x v="1"/>
    <n v="0"/>
    <n v="0"/>
    <n v="1"/>
    <x v="1"/>
  </r>
  <r>
    <n v="165"/>
    <n v="1166"/>
    <s v="V1"/>
    <n v="30"/>
    <n v="20"/>
    <x v="2"/>
    <n v="0.25"/>
    <x v="0"/>
    <n v="1"/>
    <x v="1"/>
    <n v="0"/>
    <n v="0"/>
    <n v="0"/>
    <x v="0"/>
  </r>
  <r>
    <n v="166"/>
    <n v="1167"/>
    <s v="V3"/>
    <n v="60"/>
    <n v="30"/>
    <x v="5"/>
    <n v="6.6666666666666666E-2"/>
    <x v="5"/>
    <n v="2"/>
    <x v="1"/>
    <n v="0"/>
    <n v="0"/>
    <n v="1"/>
    <x v="1"/>
  </r>
  <r>
    <n v="167"/>
    <n v="1168"/>
    <s v="V2"/>
    <n v="60"/>
    <n v="45"/>
    <x v="7"/>
    <n v="0.15555555555555556"/>
    <x v="3"/>
    <n v="1"/>
    <x v="0"/>
    <n v="0"/>
    <n v="0"/>
    <n v="1"/>
    <x v="1"/>
  </r>
  <r>
    <n v="168"/>
    <n v="1169"/>
    <s v="V2"/>
    <n v="30"/>
    <n v="19"/>
    <x v="4"/>
    <n v="0.21052631578947367"/>
    <x v="1"/>
    <n v="3"/>
    <x v="0"/>
    <n v="0"/>
    <n v="0"/>
    <n v="1"/>
    <x v="0"/>
  </r>
  <r>
    <n v="169"/>
    <n v="1170"/>
    <s v="V2"/>
    <n v="45"/>
    <n v="37"/>
    <x v="1"/>
    <n v="8.1081081081081086E-2"/>
    <x v="3"/>
    <n v="1"/>
    <x v="1"/>
    <n v="0"/>
    <n v="0"/>
    <n v="0"/>
    <x v="1"/>
  </r>
  <r>
    <n v="170"/>
    <n v="1171"/>
    <s v="V2"/>
    <n v="60"/>
    <n v="51"/>
    <x v="3"/>
    <n v="0.11764705882352941"/>
    <x v="5"/>
    <n v="3"/>
    <x v="0"/>
    <n v="0"/>
    <n v="0"/>
    <n v="1"/>
    <x v="1"/>
  </r>
  <r>
    <n v="171"/>
    <n v="1172"/>
    <s v="V2"/>
    <n v="30"/>
    <n v="24"/>
    <x v="1"/>
    <n v="0.125"/>
    <x v="1"/>
    <n v="3"/>
    <x v="0"/>
    <n v="0"/>
    <n v="0"/>
    <n v="0"/>
    <x v="1"/>
  </r>
  <r>
    <n v="172"/>
    <n v="1173"/>
    <s v="V3"/>
    <n v="60"/>
    <n v="51"/>
    <x v="3"/>
    <n v="0.11764705882352941"/>
    <x v="6"/>
    <n v="4"/>
    <x v="1"/>
    <n v="0"/>
    <n v="0"/>
    <n v="0"/>
    <x v="1"/>
  </r>
  <r>
    <n v="173"/>
    <n v="1174"/>
    <s v="V3"/>
    <n v="30"/>
    <n v="24"/>
    <x v="0"/>
    <n v="0.33333333333333331"/>
    <x v="6"/>
    <n v="1"/>
    <x v="0"/>
    <n v="0"/>
    <n v="0"/>
    <n v="0"/>
    <x v="0"/>
  </r>
  <r>
    <n v="174"/>
    <n v="1175"/>
    <s v="V2"/>
    <n v="60"/>
    <n v="50"/>
    <x v="7"/>
    <n v="0.14000000000000001"/>
    <x v="5"/>
    <n v="0"/>
    <x v="1"/>
    <n v="0"/>
    <n v="0"/>
    <n v="1"/>
    <x v="1"/>
  </r>
  <r>
    <n v="175"/>
    <n v="1176"/>
    <s v="V3"/>
    <n v="45"/>
    <n v="44"/>
    <x v="6"/>
    <n v="2.2727272727272728E-2"/>
    <x v="1"/>
    <n v="1"/>
    <x v="0"/>
    <n v="1"/>
    <n v="0"/>
    <n v="1"/>
    <x v="1"/>
  </r>
  <r>
    <n v="176"/>
    <n v="1177"/>
    <s v="V2"/>
    <n v="45"/>
    <n v="20"/>
    <x v="2"/>
    <n v="0.25"/>
    <x v="3"/>
    <n v="4"/>
    <x v="1"/>
    <n v="0"/>
    <n v="0"/>
    <n v="0"/>
    <x v="0"/>
  </r>
  <r>
    <n v="177"/>
    <n v="1178"/>
    <s v="V3"/>
    <n v="60"/>
    <n v="25"/>
    <x v="5"/>
    <n v="0.08"/>
    <x v="4"/>
    <n v="1"/>
    <x v="1"/>
    <n v="0"/>
    <n v="0"/>
    <n v="0"/>
    <x v="1"/>
  </r>
  <r>
    <n v="178"/>
    <n v="1179"/>
    <s v="V1"/>
    <n v="30"/>
    <n v="28"/>
    <x v="7"/>
    <n v="0.25"/>
    <x v="6"/>
    <n v="2"/>
    <x v="0"/>
    <n v="1"/>
    <n v="0"/>
    <n v="0"/>
    <x v="0"/>
  </r>
  <r>
    <n v="179"/>
    <n v="1180"/>
    <s v="V1"/>
    <n v="30"/>
    <n v="26"/>
    <x v="3"/>
    <n v="0.23076923076923078"/>
    <x v="2"/>
    <n v="3"/>
    <x v="0"/>
    <n v="0"/>
    <n v="0"/>
    <n v="1"/>
    <x v="0"/>
  </r>
  <r>
    <n v="180"/>
    <n v="1181"/>
    <s v="V2"/>
    <n v="45"/>
    <n v="45"/>
    <x v="0"/>
    <n v="0.17777777777777778"/>
    <x v="5"/>
    <n v="1"/>
    <x v="1"/>
    <n v="1"/>
    <n v="0"/>
    <n v="1"/>
    <x v="1"/>
  </r>
  <r>
    <n v="181"/>
    <n v="1182"/>
    <s v="V3"/>
    <n v="45"/>
    <n v="24"/>
    <x v="7"/>
    <n v="0.29166666666666669"/>
    <x v="6"/>
    <n v="2"/>
    <x v="1"/>
    <n v="0"/>
    <n v="0"/>
    <n v="0"/>
    <x v="0"/>
  </r>
  <r>
    <n v="182"/>
    <n v="1183"/>
    <s v="V2"/>
    <n v="30"/>
    <n v="13"/>
    <x v="5"/>
    <n v="0.15384615384615385"/>
    <x v="6"/>
    <n v="3"/>
    <x v="0"/>
    <n v="0"/>
    <n v="0"/>
    <n v="0"/>
    <x v="1"/>
  </r>
  <r>
    <n v="183"/>
    <n v="1184"/>
    <s v="V2"/>
    <n v="30"/>
    <n v="24"/>
    <x v="1"/>
    <n v="0.125"/>
    <x v="3"/>
    <n v="4"/>
    <x v="0"/>
    <n v="0"/>
    <n v="0"/>
    <n v="1"/>
    <x v="1"/>
  </r>
  <r>
    <n v="184"/>
    <n v="1185"/>
    <s v="V3"/>
    <n v="60"/>
    <n v="59"/>
    <x v="0"/>
    <n v="0.13559322033898305"/>
    <x v="6"/>
    <n v="1"/>
    <x v="0"/>
    <n v="1"/>
    <n v="0"/>
    <n v="0"/>
    <x v="1"/>
  </r>
  <r>
    <n v="185"/>
    <n v="1186"/>
    <s v="V3"/>
    <n v="30"/>
    <n v="27"/>
    <x v="4"/>
    <n v="0.14814814814814814"/>
    <x v="5"/>
    <n v="0"/>
    <x v="1"/>
    <n v="0"/>
    <n v="0"/>
    <n v="0"/>
    <x v="1"/>
  </r>
  <r>
    <n v="186"/>
    <n v="1187"/>
    <s v="V2"/>
    <n v="45"/>
    <n v="18"/>
    <x v="2"/>
    <n v="0.27777777777777779"/>
    <x v="5"/>
    <n v="2"/>
    <x v="0"/>
    <n v="0"/>
    <n v="0"/>
    <n v="1"/>
    <x v="0"/>
  </r>
  <r>
    <n v="187"/>
    <n v="1188"/>
    <s v="V1"/>
    <n v="45"/>
    <n v="43"/>
    <x v="5"/>
    <n v="4.6511627906976744E-2"/>
    <x v="0"/>
    <n v="1"/>
    <x v="0"/>
    <n v="1"/>
    <n v="0"/>
    <n v="0"/>
    <x v="1"/>
  </r>
  <r>
    <n v="188"/>
    <n v="1189"/>
    <s v="V2"/>
    <n v="30"/>
    <n v="12"/>
    <x v="6"/>
    <n v="8.3333333333333329E-2"/>
    <x v="4"/>
    <n v="3"/>
    <x v="1"/>
    <n v="0"/>
    <n v="0"/>
    <n v="0"/>
    <x v="1"/>
  </r>
  <r>
    <n v="189"/>
    <n v="1190"/>
    <s v="V3"/>
    <n v="30"/>
    <n v="14"/>
    <x v="6"/>
    <n v="7.1428571428571425E-2"/>
    <x v="6"/>
    <n v="4"/>
    <x v="0"/>
    <n v="0"/>
    <n v="0"/>
    <n v="0"/>
    <x v="1"/>
  </r>
  <r>
    <n v="190"/>
    <n v="1191"/>
    <s v="V1"/>
    <n v="45"/>
    <n v="22"/>
    <x v="2"/>
    <n v="0.22727272727272727"/>
    <x v="1"/>
    <n v="0"/>
    <x v="1"/>
    <n v="0"/>
    <n v="0"/>
    <n v="1"/>
    <x v="0"/>
  </r>
  <r>
    <n v="191"/>
    <n v="1192"/>
    <s v="V3"/>
    <n v="60"/>
    <n v="25"/>
    <x v="0"/>
    <n v="0.32"/>
    <x v="6"/>
    <n v="2"/>
    <x v="1"/>
    <n v="0"/>
    <n v="1"/>
    <n v="0"/>
    <x v="0"/>
  </r>
  <r>
    <n v="192"/>
    <n v="1193"/>
    <s v="V3"/>
    <n v="45"/>
    <n v="29"/>
    <x v="5"/>
    <n v="6.8965517241379309E-2"/>
    <x v="0"/>
    <n v="1"/>
    <x v="0"/>
    <n v="0"/>
    <n v="0"/>
    <n v="0"/>
    <x v="1"/>
  </r>
  <r>
    <n v="193"/>
    <n v="1194"/>
    <s v="V1"/>
    <n v="45"/>
    <n v="19"/>
    <x v="4"/>
    <n v="0.21052631578947367"/>
    <x v="6"/>
    <n v="4"/>
    <x v="1"/>
    <n v="0"/>
    <n v="0"/>
    <n v="1"/>
    <x v="0"/>
  </r>
  <r>
    <n v="194"/>
    <n v="1195"/>
    <s v="V1"/>
    <n v="45"/>
    <n v="26"/>
    <x v="2"/>
    <n v="0.19230769230769232"/>
    <x v="4"/>
    <n v="4"/>
    <x v="1"/>
    <n v="0"/>
    <n v="0"/>
    <n v="0"/>
    <x v="1"/>
  </r>
  <r>
    <n v="195"/>
    <n v="1196"/>
    <s v="V1"/>
    <n v="60"/>
    <n v="50"/>
    <x v="5"/>
    <n v="0.04"/>
    <x v="6"/>
    <n v="3"/>
    <x v="1"/>
    <n v="0"/>
    <n v="0"/>
    <n v="0"/>
    <x v="1"/>
  </r>
  <r>
    <n v="196"/>
    <n v="1197"/>
    <s v="V2"/>
    <n v="45"/>
    <n v="42"/>
    <x v="3"/>
    <n v="0.14285714285714285"/>
    <x v="1"/>
    <n v="2"/>
    <x v="0"/>
    <n v="1"/>
    <n v="0"/>
    <n v="1"/>
    <x v="1"/>
  </r>
  <r>
    <n v="197"/>
    <n v="1198"/>
    <s v="V1"/>
    <n v="30"/>
    <n v="25"/>
    <x v="5"/>
    <n v="0.08"/>
    <x v="0"/>
    <n v="4"/>
    <x v="1"/>
    <n v="0"/>
    <n v="0"/>
    <n v="0"/>
    <x v="1"/>
  </r>
  <r>
    <n v="198"/>
    <n v="1199"/>
    <s v="V3"/>
    <n v="30"/>
    <n v="24"/>
    <x v="4"/>
    <n v="0.16666666666666666"/>
    <x v="6"/>
    <n v="2"/>
    <x v="1"/>
    <n v="0"/>
    <n v="0"/>
    <n v="0"/>
    <x v="1"/>
  </r>
  <r>
    <n v="199"/>
    <n v="1200"/>
    <s v="V1"/>
    <n v="30"/>
    <n v="25"/>
    <x v="4"/>
    <n v="0.16"/>
    <x v="4"/>
    <n v="0"/>
    <x v="1"/>
    <n v="0"/>
    <n v="0"/>
    <n v="1"/>
    <x v="1"/>
  </r>
  <r>
    <n v="200"/>
    <n v="1201"/>
    <s v="V3"/>
    <n v="30"/>
    <n v="21"/>
    <x v="6"/>
    <n v="4.7619047619047616E-2"/>
    <x v="5"/>
    <n v="0"/>
    <x v="1"/>
    <n v="0"/>
    <n v="0"/>
    <n v="1"/>
    <x v="1"/>
  </r>
  <r>
    <n v="201"/>
    <n v="1202"/>
    <s v="V2"/>
    <n v="60"/>
    <n v="48"/>
    <x v="3"/>
    <n v="0.125"/>
    <x v="0"/>
    <n v="0"/>
    <x v="1"/>
    <n v="0"/>
    <n v="0"/>
    <n v="0"/>
    <x v="1"/>
  </r>
  <r>
    <n v="202"/>
    <n v="1203"/>
    <s v="V1"/>
    <n v="60"/>
    <n v="57"/>
    <x v="0"/>
    <n v="0.14035087719298245"/>
    <x v="6"/>
    <n v="3"/>
    <x v="0"/>
    <n v="1"/>
    <n v="0"/>
    <n v="0"/>
    <x v="1"/>
  </r>
  <r>
    <n v="203"/>
    <n v="1204"/>
    <s v="V3"/>
    <n v="45"/>
    <n v="36"/>
    <x v="2"/>
    <n v="0.1388888888888889"/>
    <x v="2"/>
    <n v="3"/>
    <x v="0"/>
    <n v="0"/>
    <n v="0"/>
    <n v="1"/>
    <x v="1"/>
  </r>
  <r>
    <n v="204"/>
    <n v="1205"/>
    <s v="V1"/>
    <n v="45"/>
    <n v="22"/>
    <x v="2"/>
    <n v="0.22727272727272727"/>
    <x v="0"/>
    <n v="3"/>
    <x v="1"/>
    <n v="0"/>
    <n v="0"/>
    <n v="0"/>
    <x v="0"/>
  </r>
  <r>
    <n v="205"/>
    <n v="1206"/>
    <s v="V2"/>
    <n v="45"/>
    <n v="21"/>
    <x v="3"/>
    <n v="0.2857142857142857"/>
    <x v="4"/>
    <n v="2"/>
    <x v="0"/>
    <n v="0"/>
    <n v="0"/>
    <n v="0"/>
    <x v="0"/>
  </r>
  <r>
    <n v="206"/>
    <n v="1207"/>
    <s v="V3"/>
    <n v="45"/>
    <n v="42"/>
    <x v="2"/>
    <n v="0.11904761904761904"/>
    <x v="2"/>
    <n v="2"/>
    <x v="1"/>
    <n v="1"/>
    <n v="0"/>
    <n v="1"/>
    <x v="1"/>
  </r>
  <r>
    <n v="207"/>
    <n v="1208"/>
    <s v="V2"/>
    <n v="60"/>
    <n v="39"/>
    <x v="4"/>
    <n v="0.10256410256410256"/>
    <x v="1"/>
    <n v="1"/>
    <x v="0"/>
    <n v="0"/>
    <n v="0"/>
    <n v="1"/>
    <x v="1"/>
  </r>
  <r>
    <n v="208"/>
    <n v="1209"/>
    <s v="V3"/>
    <n v="60"/>
    <n v="49"/>
    <x v="0"/>
    <n v="0.16326530612244897"/>
    <x v="0"/>
    <n v="1"/>
    <x v="1"/>
    <n v="0"/>
    <n v="0"/>
    <n v="0"/>
    <x v="1"/>
  </r>
  <r>
    <n v="209"/>
    <n v="1210"/>
    <s v="V2"/>
    <n v="60"/>
    <n v="58"/>
    <x v="6"/>
    <n v="1.7241379310344827E-2"/>
    <x v="2"/>
    <n v="1"/>
    <x v="1"/>
    <n v="1"/>
    <n v="0"/>
    <n v="1"/>
    <x v="1"/>
  </r>
  <r>
    <n v="210"/>
    <n v="1211"/>
    <s v="V3"/>
    <n v="30"/>
    <n v="16"/>
    <x v="2"/>
    <n v="0.3125"/>
    <x v="0"/>
    <n v="0"/>
    <x v="1"/>
    <n v="0"/>
    <n v="0"/>
    <n v="0"/>
    <x v="0"/>
  </r>
  <r>
    <n v="211"/>
    <n v="1212"/>
    <s v="V3"/>
    <n v="60"/>
    <n v="34"/>
    <x v="2"/>
    <n v="0.14705882352941177"/>
    <x v="4"/>
    <n v="4"/>
    <x v="1"/>
    <n v="0"/>
    <n v="0"/>
    <n v="1"/>
    <x v="1"/>
  </r>
  <r>
    <n v="212"/>
    <n v="1213"/>
    <s v="V1"/>
    <n v="45"/>
    <n v="33"/>
    <x v="5"/>
    <n v="6.0606060606060608E-2"/>
    <x v="5"/>
    <n v="0"/>
    <x v="1"/>
    <n v="0"/>
    <n v="0"/>
    <n v="0"/>
    <x v="1"/>
  </r>
  <r>
    <n v="213"/>
    <n v="1214"/>
    <s v="V2"/>
    <n v="60"/>
    <n v="56"/>
    <x v="7"/>
    <n v="0.125"/>
    <x v="4"/>
    <n v="1"/>
    <x v="1"/>
    <n v="1"/>
    <n v="0"/>
    <n v="1"/>
    <x v="1"/>
  </r>
  <r>
    <n v="214"/>
    <n v="1215"/>
    <s v="V1"/>
    <n v="30"/>
    <n v="21"/>
    <x v="0"/>
    <n v="0.38095238095238093"/>
    <x v="5"/>
    <n v="1"/>
    <x v="1"/>
    <n v="0"/>
    <n v="1"/>
    <n v="1"/>
    <x v="0"/>
  </r>
  <r>
    <n v="215"/>
    <n v="1216"/>
    <s v="V3"/>
    <n v="45"/>
    <n v="39"/>
    <x v="0"/>
    <n v="0.20512820512820512"/>
    <x v="5"/>
    <n v="4"/>
    <x v="1"/>
    <n v="0"/>
    <n v="0"/>
    <n v="1"/>
    <x v="0"/>
  </r>
  <r>
    <n v="216"/>
    <n v="1217"/>
    <s v="V3"/>
    <n v="45"/>
    <n v="35"/>
    <x v="3"/>
    <n v="0.17142857142857143"/>
    <x v="6"/>
    <n v="0"/>
    <x v="1"/>
    <n v="0"/>
    <n v="0"/>
    <n v="0"/>
    <x v="1"/>
  </r>
  <r>
    <n v="217"/>
    <n v="1218"/>
    <s v="V3"/>
    <n v="45"/>
    <n v="30"/>
    <x v="3"/>
    <n v="0.2"/>
    <x v="6"/>
    <n v="1"/>
    <x v="0"/>
    <n v="0"/>
    <n v="0"/>
    <n v="0"/>
    <x v="0"/>
  </r>
  <r>
    <n v="218"/>
    <n v="1219"/>
    <s v="V1"/>
    <n v="45"/>
    <n v="24"/>
    <x v="4"/>
    <n v="0.16666666666666666"/>
    <x v="5"/>
    <n v="4"/>
    <x v="1"/>
    <n v="0"/>
    <n v="0"/>
    <n v="0"/>
    <x v="1"/>
  </r>
  <r>
    <n v="219"/>
    <n v="1220"/>
    <s v="V2"/>
    <n v="45"/>
    <n v="29"/>
    <x v="7"/>
    <n v="0.2413793103448276"/>
    <x v="0"/>
    <n v="3"/>
    <x v="1"/>
    <n v="0"/>
    <n v="0"/>
    <n v="0"/>
    <x v="0"/>
  </r>
  <r>
    <n v="220"/>
    <n v="1221"/>
    <s v="V3"/>
    <n v="60"/>
    <n v="40"/>
    <x v="5"/>
    <n v="0.05"/>
    <x v="4"/>
    <n v="0"/>
    <x v="1"/>
    <n v="0"/>
    <n v="0"/>
    <n v="1"/>
    <x v="1"/>
  </r>
  <r>
    <n v="221"/>
    <n v="1222"/>
    <s v="V3"/>
    <n v="60"/>
    <n v="36"/>
    <x v="1"/>
    <n v="8.3333333333333329E-2"/>
    <x v="5"/>
    <n v="1"/>
    <x v="1"/>
    <n v="0"/>
    <n v="0"/>
    <n v="1"/>
    <x v="1"/>
  </r>
  <r>
    <n v="222"/>
    <n v="1223"/>
    <s v="V3"/>
    <n v="60"/>
    <n v="43"/>
    <x v="4"/>
    <n v="9.3023255813953487E-2"/>
    <x v="6"/>
    <n v="0"/>
    <x v="1"/>
    <n v="0"/>
    <n v="0"/>
    <n v="0"/>
    <x v="1"/>
  </r>
  <r>
    <n v="223"/>
    <n v="1224"/>
    <s v="V3"/>
    <n v="60"/>
    <n v="25"/>
    <x v="5"/>
    <n v="0.08"/>
    <x v="6"/>
    <n v="2"/>
    <x v="0"/>
    <n v="0"/>
    <n v="0"/>
    <n v="0"/>
    <x v="1"/>
  </r>
  <r>
    <n v="224"/>
    <n v="1225"/>
    <s v="V3"/>
    <n v="45"/>
    <n v="40"/>
    <x v="6"/>
    <n v="2.5000000000000001E-2"/>
    <x v="0"/>
    <n v="2"/>
    <x v="0"/>
    <n v="0"/>
    <n v="0"/>
    <n v="0"/>
    <x v="1"/>
  </r>
  <r>
    <n v="225"/>
    <n v="1226"/>
    <s v="V3"/>
    <n v="30"/>
    <n v="14"/>
    <x v="7"/>
    <n v="0.5"/>
    <x v="0"/>
    <n v="4"/>
    <x v="0"/>
    <n v="0"/>
    <n v="0"/>
    <n v="0"/>
    <x v="0"/>
  </r>
  <r>
    <n v="226"/>
    <n v="1227"/>
    <s v="V3"/>
    <n v="45"/>
    <n v="22"/>
    <x v="7"/>
    <n v="0.31818181818181818"/>
    <x v="4"/>
    <n v="2"/>
    <x v="0"/>
    <n v="0"/>
    <n v="0"/>
    <n v="0"/>
    <x v="0"/>
  </r>
  <r>
    <n v="227"/>
    <n v="1228"/>
    <s v="V3"/>
    <n v="45"/>
    <n v="27"/>
    <x v="5"/>
    <n v="7.407407407407407E-2"/>
    <x v="6"/>
    <n v="2"/>
    <x v="1"/>
    <n v="0"/>
    <n v="0"/>
    <n v="1"/>
    <x v="1"/>
  </r>
  <r>
    <n v="228"/>
    <n v="1229"/>
    <s v="V3"/>
    <n v="45"/>
    <n v="33"/>
    <x v="1"/>
    <n v="9.0909090909090912E-2"/>
    <x v="4"/>
    <n v="1"/>
    <x v="0"/>
    <n v="0"/>
    <n v="0"/>
    <n v="1"/>
    <x v="1"/>
  </r>
  <r>
    <n v="229"/>
    <n v="1230"/>
    <s v="V1"/>
    <n v="45"/>
    <n v="43"/>
    <x v="2"/>
    <n v="0.11627906976744186"/>
    <x v="2"/>
    <n v="1"/>
    <x v="1"/>
    <n v="1"/>
    <n v="0"/>
    <n v="1"/>
    <x v="1"/>
  </r>
  <r>
    <n v="230"/>
    <n v="1231"/>
    <s v="V1"/>
    <n v="45"/>
    <n v="33"/>
    <x v="7"/>
    <n v="0.21212121212121213"/>
    <x v="0"/>
    <n v="1"/>
    <x v="1"/>
    <n v="0"/>
    <n v="0"/>
    <n v="0"/>
    <x v="0"/>
  </r>
  <r>
    <n v="231"/>
    <n v="1232"/>
    <s v="V1"/>
    <n v="30"/>
    <n v="18"/>
    <x v="5"/>
    <n v="0.1111111111111111"/>
    <x v="4"/>
    <n v="2"/>
    <x v="1"/>
    <n v="0"/>
    <n v="0"/>
    <n v="0"/>
    <x v="1"/>
  </r>
  <r>
    <n v="232"/>
    <n v="1233"/>
    <s v="V2"/>
    <n v="30"/>
    <n v="18"/>
    <x v="1"/>
    <n v="0.16666666666666666"/>
    <x v="2"/>
    <n v="2"/>
    <x v="0"/>
    <n v="0"/>
    <n v="0"/>
    <n v="1"/>
    <x v="1"/>
  </r>
  <r>
    <n v="233"/>
    <n v="1234"/>
    <s v="V1"/>
    <n v="45"/>
    <n v="25"/>
    <x v="3"/>
    <n v="0.24"/>
    <x v="3"/>
    <n v="2"/>
    <x v="0"/>
    <n v="0"/>
    <n v="0"/>
    <n v="1"/>
    <x v="0"/>
  </r>
  <r>
    <n v="234"/>
    <n v="1235"/>
    <s v="V2"/>
    <n v="30"/>
    <n v="26"/>
    <x v="6"/>
    <n v="3.8461538461538464E-2"/>
    <x v="3"/>
    <n v="4"/>
    <x v="1"/>
    <n v="0"/>
    <n v="0"/>
    <n v="1"/>
    <x v="1"/>
  </r>
  <r>
    <n v="235"/>
    <n v="1236"/>
    <s v="V2"/>
    <n v="60"/>
    <n v="39"/>
    <x v="1"/>
    <n v="7.6923076923076927E-2"/>
    <x v="3"/>
    <n v="2"/>
    <x v="1"/>
    <n v="0"/>
    <n v="0"/>
    <n v="0"/>
    <x v="1"/>
  </r>
  <r>
    <n v="236"/>
    <n v="1237"/>
    <s v="V2"/>
    <n v="60"/>
    <n v="60"/>
    <x v="3"/>
    <n v="0.1"/>
    <x v="4"/>
    <n v="3"/>
    <x v="0"/>
    <n v="1"/>
    <n v="0"/>
    <n v="1"/>
    <x v="1"/>
  </r>
  <r>
    <n v="237"/>
    <n v="1238"/>
    <s v="V1"/>
    <n v="45"/>
    <n v="37"/>
    <x v="7"/>
    <n v="0.1891891891891892"/>
    <x v="1"/>
    <n v="4"/>
    <x v="0"/>
    <n v="0"/>
    <n v="0"/>
    <n v="0"/>
    <x v="1"/>
  </r>
  <r>
    <n v="238"/>
    <n v="1239"/>
    <s v="V2"/>
    <n v="60"/>
    <n v="26"/>
    <x v="3"/>
    <n v="0.23076923076923078"/>
    <x v="2"/>
    <n v="1"/>
    <x v="1"/>
    <n v="0"/>
    <n v="0"/>
    <n v="1"/>
    <x v="0"/>
  </r>
  <r>
    <n v="239"/>
    <n v="1240"/>
    <s v="V3"/>
    <n v="60"/>
    <n v="59"/>
    <x v="4"/>
    <n v="6.7796610169491525E-2"/>
    <x v="6"/>
    <n v="4"/>
    <x v="1"/>
    <n v="1"/>
    <n v="0"/>
    <n v="0"/>
    <x v="1"/>
  </r>
  <r>
    <n v="240"/>
    <n v="1241"/>
    <s v="V3"/>
    <n v="30"/>
    <n v="27"/>
    <x v="5"/>
    <n v="7.407407407407407E-2"/>
    <x v="5"/>
    <n v="2"/>
    <x v="1"/>
    <n v="0"/>
    <n v="0"/>
    <n v="0"/>
    <x v="1"/>
  </r>
  <r>
    <n v="241"/>
    <n v="1242"/>
    <s v="V1"/>
    <n v="60"/>
    <n v="55"/>
    <x v="5"/>
    <n v="3.6363636363636362E-2"/>
    <x v="3"/>
    <n v="3"/>
    <x v="0"/>
    <n v="1"/>
    <n v="0"/>
    <n v="0"/>
    <x v="1"/>
  </r>
  <r>
    <n v="242"/>
    <n v="1243"/>
    <s v="V1"/>
    <n v="60"/>
    <n v="46"/>
    <x v="5"/>
    <n v="4.3478260869565216E-2"/>
    <x v="5"/>
    <n v="1"/>
    <x v="1"/>
    <n v="0"/>
    <n v="0"/>
    <n v="1"/>
    <x v="1"/>
  </r>
  <r>
    <n v="243"/>
    <n v="1244"/>
    <s v="V2"/>
    <n v="45"/>
    <n v="21"/>
    <x v="7"/>
    <n v="0.33333333333333331"/>
    <x v="6"/>
    <n v="4"/>
    <x v="1"/>
    <n v="0"/>
    <n v="1"/>
    <n v="0"/>
    <x v="0"/>
  </r>
  <r>
    <n v="244"/>
    <n v="1245"/>
    <s v="V2"/>
    <n v="60"/>
    <n v="38"/>
    <x v="5"/>
    <n v="5.2631578947368418E-2"/>
    <x v="6"/>
    <n v="4"/>
    <x v="1"/>
    <n v="0"/>
    <n v="0"/>
    <n v="0"/>
    <x v="1"/>
  </r>
  <r>
    <n v="245"/>
    <n v="1246"/>
    <s v="V3"/>
    <n v="45"/>
    <n v="41"/>
    <x v="2"/>
    <n v="0.12195121951219512"/>
    <x v="3"/>
    <n v="3"/>
    <x v="0"/>
    <n v="1"/>
    <n v="0"/>
    <n v="0"/>
    <x v="1"/>
  </r>
  <r>
    <n v="246"/>
    <n v="1247"/>
    <s v="V3"/>
    <n v="30"/>
    <n v="22"/>
    <x v="5"/>
    <n v="9.0909090909090912E-2"/>
    <x v="4"/>
    <n v="1"/>
    <x v="0"/>
    <n v="0"/>
    <n v="0"/>
    <n v="1"/>
    <x v="1"/>
  </r>
  <r>
    <n v="247"/>
    <n v="1248"/>
    <s v="V3"/>
    <n v="30"/>
    <n v="28"/>
    <x v="4"/>
    <n v="0.14285714285714285"/>
    <x v="3"/>
    <n v="4"/>
    <x v="1"/>
    <n v="1"/>
    <n v="0"/>
    <n v="1"/>
    <x v="1"/>
  </r>
  <r>
    <n v="248"/>
    <n v="1249"/>
    <s v="V3"/>
    <n v="45"/>
    <n v="23"/>
    <x v="3"/>
    <n v="0.2608695652173913"/>
    <x v="0"/>
    <n v="4"/>
    <x v="0"/>
    <n v="0"/>
    <n v="0"/>
    <n v="0"/>
    <x v="0"/>
  </r>
  <r>
    <n v="249"/>
    <n v="1250"/>
    <s v="V1"/>
    <n v="30"/>
    <n v="26"/>
    <x v="7"/>
    <n v="0.26923076923076922"/>
    <x v="5"/>
    <n v="0"/>
    <x v="1"/>
    <n v="0"/>
    <n v="0"/>
    <n v="0"/>
    <x v="0"/>
  </r>
  <r>
    <n v="250"/>
    <n v="1251"/>
    <s v="V3"/>
    <n v="60"/>
    <n v="59"/>
    <x v="6"/>
    <n v="1.6949152542372881E-2"/>
    <x v="1"/>
    <n v="3"/>
    <x v="1"/>
    <n v="1"/>
    <n v="0"/>
    <n v="0"/>
    <x v="1"/>
  </r>
  <r>
    <n v="251"/>
    <n v="1252"/>
    <s v="V3"/>
    <n v="45"/>
    <n v="19"/>
    <x v="3"/>
    <n v="0.31578947368421051"/>
    <x v="4"/>
    <n v="3"/>
    <x v="0"/>
    <n v="0"/>
    <n v="0"/>
    <n v="1"/>
    <x v="0"/>
  </r>
  <r>
    <n v="252"/>
    <n v="1253"/>
    <s v="V1"/>
    <n v="45"/>
    <n v="33"/>
    <x v="3"/>
    <n v="0.18181818181818182"/>
    <x v="0"/>
    <n v="3"/>
    <x v="0"/>
    <n v="0"/>
    <n v="0"/>
    <n v="0"/>
    <x v="1"/>
  </r>
  <r>
    <n v="253"/>
    <n v="1254"/>
    <s v="V2"/>
    <n v="30"/>
    <n v="25"/>
    <x v="1"/>
    <n v="0.12"/>
    <x v="5"/>
    <n v="0"/>
    <x v="1"/>
    <n v="0"/>
    <n v="0"/>
    <n v="1"/>
    <x v="1"/>
  </r>
  <r>
    <n v="254"/>
    <n v="1255"/>
    <s v="V1"/>
    <n v="60"/>
    <n v="30"/>
    <x v="2"/>
    <n v="0.16666666666666666"/>
    <x v="1"/>
    <n v="4"/>
    <x v="0"/>
    <n v="0"/>
    <n v="0"/>
    <n v="1"/>
    <x v="1"/>
  </r>
  <r>
    <n v="255"/>
    <n v="1256"/>
    <s v="V3"/>
    <n v="45"/>
    <n v="26"/>
    <x v="7"/>
    <n v="0.26923076923076922"/>
    <x v="2"/>
    <n v="3"/>
    <x v="0"/>
    <n v="0"/>
    <n v="0"/>
    <n v="1"/>
    <x v="0"/>
  </r>
  <r>
    <n v="256"/>
    <n v="1257"/>
    <s v="V1"/>
    <n v="30"/>
    <n v="28"/>
    <x v="3"/>
    <n v="0.21428571428571427"/>
    <x v="6"/>
    <n v="4"/>
    <x v="0"/>
    <n v="1"/>
    <n v="0"/>
    <n v="0"/>
    <x v="0"/>
  </r>
  <r>
    <n v="257"/>
    <n v="1258"/>
    <s v="V1"/>
    <n v="30"/>
    <n v="20"/>
    <x v="6"/>
    <n v="0.05"/>
    <x v="0"/>
    <n v="4"/>
    <x v="0"/>
    <n v="0"/>
    <n v="0"/>
    <n v="0"/>
    <x v="1"/>
  </r>
  <r>
    <n v="258"/>
    <n v="1259"/>
    <s v="V1"/>
    <n v="60"/>
    <n v="56"/>
    <x v="1"/>
    <n v="5.3571428571428568E-2"/>
    <x v="4"/>
    <n v="4"/>
    <x v="1"/>
    <n v="1"/>
    <n v="0"/>
    <n v="0"/>
    <x v="1"/>
  </r>
  <r>
    <n v="259"/>
    <n v="1260"/>
    <s v="V2"/>
    <n v="60"/>
    <n v="40"/>
    <x v="5"/>
    <n v="0.05"/>
    <x v="6"/>
    <n v="2"/>
    <x v="1"/>
    <n v="0"/>
    <n v="0"/>
    <n v="0"/>
    <x v="1"/>
  </r>
  <r>
    <n v="260"/>
    <n v="1261"/>
    <s v="V1"/>
    <n v="45"/>
    <n v="36"/>
    <x v="7"/>
    <n v="0.19444444444444445"/>
    <x v="1"/>
    <n v="0"/>
    <x v="1"/>
    <n v="0"/>
    <n v="0"/>
    <n v="0"/>
    <x v="1"/>
  </r>
  <r>
    <n v="261"/>
    <n v="1262"/>
    <s v="V1"/>
    <n v="60"/>
    <n v="39"/>
    <x v="6"/>
    <n v="2.564102564102564E-2"/>
    <x v="6"/>
    <n v="4"/>
    <x v="1"/>
    <n v="0"/>
    <n v="0"/>
    <n v="0"/>
    <x v="1"/>
  </r>
  <r>
    <n v="262"/>
    <n v="1263"/>
    <s v="V2"/>
    <n v="60"/>
    <n v="57"/>
    <x v="7"/>
    <n v="0.12280701754385964"/>
    <x v="2"/>
    <n v="3"/>
    <x v="1"/>
    <n v="1"/>
    <n v="0"/>
    <n v="1"/>
    <x v="1"/>
  </r>
  <r>
    <n v="263"/>
    <n v="1264"/>
    <s v="V3"/>
    <n v="45"/>
    <n v="36"/>
    <x v="2"/>
    <n v="0.1388888888888889"/>
    <x v="6"/>
    <n v="2"/>
    <x v="1"/>
    <n v="0"/>
    <n v="0"/>
    <n v="0"/>
    <x v="1"/>
  </r>
  <r>
    <n v="264"/>
    <n v="1265"/>
    <s v="V3"/>
    <n v="45"/>
    <n v="44"/>
    <x v="0"/>
    <n v="0.18181818181818182"/>
    <x v="2"/>
    <n v="3"/>
    <x v="0"/>
    <n v="1"/>
    <n v="0"/>
    <n v="1"/>
    <x v="1"/>
  </r>
  <r>
    <n v="265"/>
    <n v="1266"/>
    <s v="V3"/>
    <n v="45"/>
    <n v="38"/>
    <x v="0"/>
    <n v="0.21052631578947367"/>
    <x v="0"/>
    <n v="0"/>
    <x v="1"/>
    <n v="0"/>
    <n v="0"/>
    <n v="0"/>
    <x v="0"/>
  </r>
  <r>
    <n v="266"/>
    <n v="1267"/>
    <s v="V3"/>
    <n v="45"/>
    <n v="22"/>
    <x v="0"/>
    <n v="0.36363636363636365"/>
    <x v="4"/>
    <n v="4"/>
    <x v="1"/>
    <n v="0"/>
    <n v="0"/>
    <n v="0"/>
    <x v="0"/>
  </r>
  <r>
    <n v="267"/>
    <n v="1268"/>
    <s v="V3"/>
    <n v="30"/>
    <n v="17"/>
    <x v="0"/>
    <n v="0.47058823529411764"/>
    <x v="5"/>
    <n v="2"/>
    <x v="0"/>
    <n v="0"/>
    <n v="0"/>
    <n v="1"/>
    <x v="0"/>
  </r>
  <r>
    <n v="268"/>
    <n v="1269"/>
    <s v="V1"/>
    <n v="60"/>
    <n v="57"/>
    <x v="4"/>
    <n v="7.0175438596491224E-2"/>
    <x v="4"/>
    <n v="1"/>
    <x v="1"/>
    <n v="1"/>
    <n v="0"/>
    <n v="0"/>
    <x v="1"/>
  </r>
  <r>
    <n v="269"/>
    <n v="1270"/>
    <s v="V3"/>
    <n v="60"/>
    <n v="26"/>
    <x v="0"/>
    <n v="0.30769230769230771"/>
    <x v="2"/>
    <n v="0"/>
    <x v="1"/>
    <n v="0"/>
    <n v="0"/>
    <n v="1"/>
    <x v="0"/>
  </r>
  <r>
    <n v="270"/>
    <n v="1271"/>
    <s v="V2"/>
    <n v="30"/>
    <n v="26"/>
    <x v="5"/>
    <n v="7.6923076923076927E-2"/>
    <x v="2"/>
    <n v="1"/>
    <x v="1"/>
    <n v="0"/>
    <n v="0"/>
    <n v="1"/>
    <x v="1"/>
  </r>
  <r>
    <n v="271"/>
    <n v="1272"/>
    <s v="V3"/>
    <n v="45"/>
    <n v="30"/>
    <x v="0"/>
    <n v="0.26666666666666666"/>
    <x v="2"/>
    <n v="1"/>
    <x v="1"/>
    <n v="0"/>
    <n v="0"/>
    <n v="1"/>
    <x v="0"/>
  </r>
  <r>
    <n v="272"/>
    <n v="1273"/>
    <s v="V1"/>
    <n v="45"/>
    <n v="35"/>
    <x v="1"/>
    <n v="8.5714285714285715E-2"/>
    <x v="5"/>
    <n v="1"/>
    <x v="0"/>
    <n v="0"/>
    <n v="0"/>
    <n v="1"/>
    <x v="1"/>
  </r>
  <r>
    <n v="273"/>
    <n v="1274"/>
    <s v="V3"/>
    <n v="60"/>
    <n v="26"/>
    <x v="4"/>
    <n v="0.15384615384615385"/>
    <x v="0"/>
    <n v="2"/>
    <x v="1"/>
    <n v="0"/>
    <n v="0"/>
    <n v="0"/>
    <x v="1"/>
  </r>
  <r>
    <n v="274"/>
    <n v="1275"/>
    <s v="V2"/>
    <n v="30"/>
    <n v="17"/>
    <x v="0"/>
    <n v="0.47058823529411764"/>
    <x v="1"/>
    <n v="3"/>
    <x v="0"/>
    <n v="0"/>
    <n v="1"/>
    <n v="0"/>
    <x v="0"/>
  </r>
  <r>
    <n v="275"/>
    <n v="1276"/>
    <s v="V3"/>
    <n v="60"/>
    <n v="29"/>
    <x v="7"/>
    <n v="0.2413793103448276"/>
    <x v="1"/>
    <n v="2"/>
    <x v="1"/>
    <n v="0"/>
    <n v="0"/>
    <n v="1"/>
    <x v="0"/>
  </r>
  <r>
    <n v="276"/>
    <n v="1277"/>
    <s v="V3"/>
    <n v="30"/>
    <n v="14"/>
    <x v="3"/>
    <n v="0.42857142857142855"/>
    <x v="0"/>
    <n v="4"/>
    <x v="0"/>
    <n v="0"/>
    <n v="1"/>
    <n v="0"/>
    <x v="0"/>
  </r>
  <r>
    <n v="277"/>
    <n v="1278"/>
    <s v="V3"/>
    <n v="45"/>
    <n v="27"/>
    <x v="0"/>
    <n v="0.29629629629629628"/>
    <x v="1"/>
    <n v="3"/>
    <x v="1"/>
    <n v="0"/>
    <n v="0"/>
    <n v="1"/>
    <x v="0"/>
  </r>
  <r>
    <n v="278"/>
    <n v="1279"/>
    <s v="V3"/>
    <n v="45"/>
    <n v="21"/>
    <x v="6"/>
    <n v="4.7619047619047616E-2"/>
    <x v="0"/>
    <n v="4"/>
    <x v="0"/>
    <n v="0"/>
    <n v="0"/>
    <n v="0"/>
    <x v="1"/>
  </r>
  <r>
    <n v="279"/>
    <n v="1280"/>
    <s v="V3"/>
    <n v="45"/>
    <n v="19"/>
    <x v="4"/>
    <n v="0.21052631578947367"/>
    <x v="4"/>
    <n v="2"/>
    <x v="1"/>
    <n v="0"/>
    <n v="0"/>
    <n v="0"/>
    <x v="0"/>
  </r>
  <r>
    <n v="280"/>
    <n v="1281"/>
    <s v="V2"/>
    <n v="30"/>
    <n v="16"/>
    <x v="3"/>
    <n v="0.375"/>
    <x v="3"/>
    <n v="4"/>
    <x v="0"/>
    <n v="0"/>
    <n v="0"/>
    <n v="1"/>
    <x v="0"/>
  </r>
  <r>
    <n v="281"/>
    <n v="1282"/>
    <s v="V3"/>
    <n v="30"/>
    <n v="13"/>
    <x v="0"/>
    <n v="0.61538461538461542"/>
    <x v="4"/>
    <n v="4"/>
    <x v="0"/>
    <n v="0"/>
    <n v="1"/>
    <n v="1"/>
    <x v="2"/>
  </r>
  <r>
    <n v="282"/>
    <n v="1283"/>
    <s v="V2"/>
    <n v="60"/>
    <n v="34"/>
    <x v="7"/>
    <n v="0.20588235294117646"/>
    <x v="4"/>
    <n v="0"/>
    <x v="1"/>
    <n v="0"/>
    <n v="0"/>
    <n v="0"/>
    <x v="0"/>
  </r>
  <r>
    <n v="283"/>
    <n v="1284"/>
    <s v="V3"/>
    <n v="30"/>
    <n v="26"/>
    <x v="2"/>
    <n v="0.19230769230769232"/>
    <x v="3"/>
    <n v="0"/>
    <x v="1"/>
    <n v="0"/>
    <n v="0"/>
    <n v="0"/>
    <x v="1"/>
  </r>
  <r>
    <n v="284"/>
    <n v="1285"/>
    <s v="V2"/>
    <n v="45"/>
    <n v="27"/>
    <x v="7"/>
    <n v="0.25925925925925924"/>
    <x v="2"/>
    <n v="1"/>
    <x v="1"/>
    <n v="0"/>
    <n v="0"/>
    <n v="1"/>
    <x v="0"/>
  </r>
  <r>
    <n v="285"/>
    <n v="1286"/>
    <s v="V2"/>
    <n v="45"/>
    <n v="42"/>
    <x v="7"/>
    <n v="0.16666666666666666"/>
    <x v="4"/>
    <n v="0"/>
    <x v="1"/>
    <n v="1"/>
    <n v="0"/>
    <n v="1"/>
    <x v="1"/>
  </r>
  <r>
    <n v="286"/>
    <n v="1287"/>
    <s v="V1"/>
    <n v="60"/>
    <n v="31"/>
    <x v="2"/>
    <n v="0.16129032258064516"/>
    <x v="2"/>
    <n v="0"/>
    <x v="1"/>
    <n v="0"/>
    <n v="0"/>
    <n v="1"/>
    <x v="1"/>
  </r>
  <r>
    <n v="287"/>
    <n v="1288"/>
    <s v="V2"/>
    <n v="30"/>
    <n v="15"/>
    <x v="4"/>
    <n v="0.26666666666666666"/>
    <x v="4"/>
    <n v="4"/>
    <x v="0"/>
    <n v="0"/>
    <n v="0"/>
    <n v="0"/>
    <x v="0"/>
  </r>
  <r>
    <n v="288"/>
    <n v="1289"/>
    <s v="V3"/>
    <n v="45"/>
    <n v="29"/>
    <x v="7"/>
    <n v="0.2413793103448276"/>
    <x v="6"/>
    <n v="4"/>
    <x v="1"/>
    <n v="0"/>
    <n v="0"/>
    <n v="0"/>
    <x v="0"/>
  </r>
  <r>
    <n v="289"/>
    <n v="1290"/>
    <s v="V1"/>
    <n v="45"/>
    <n v="42"/>
    <x v="2"/>
    <n v="0.11904761904761904"/>
    <x v="5"/>
    <n v="3"/>
    <x v="0"/>
    <n v="1"/>
    <n v="0"/>
    <n v="1"/>
    <x v="1"/>
  </r>
  <r>
    <n v="290"/>
    <n v="1291"/>
    <s v="V3"/>
    <n v="45"/>
    <n v="30"/>
    <x v="1"/>
    <n v="0.1"/>
    <x v="2"/>
    <n v="4"/>
    <x v="0"/>
    <n v="0"/>
    <n v="0"/>
    <n v="1"/>
    <x v="1"/>
  </r>
  <r>
    <n v="291"/>
    <n v="1292"/>
    <s v="V1"/>
    <n v="45"/>
    <n v="26"/>
    <x v="3"/>
    <n v="0.23076923076923078"/>
    <x v="4"/>
    <n v="0"/>
    <x v="1"/>
    <n v="0"/>
    <n v="0"/>
    <n v="0"/>
    <x v="0"/>
  </r>
  <r>
    <n v="292"/>
    <n v="1293"/>
    <s v="V1"/>
    <n v="45"/>
    <n v="22"/>
    <x v="1"/>
    <n v="0.13636363636363635"/>
    <x v="3"/>
    <n v="0"/>
    <x v="1"/>
    <n v="0"/>
    <n v="0"/>
    <n v="1"/>
    <x v="1"/>
  </r>
  <r>
    <n v="293"/>
    <n v="1294"/>
    <s v="V1"/>
    <n v="45"/>
    <n v="23"/>
    <x v="0"/>
    <n v="0.34782608695652173"/>
    <x v="1"/>
    <n v="1"/>
    <x v="1"/>
    <n v="0"/>
    <n v="1"/>
    <n v="0"/>
    <x v="0"/>
  </r>
  <r>
    <n v="294"/>
    <n v="1295"/>
    <s v="V3"/>
    <n v="60"/>
    <n v="52"/>
    <x v="5"/>
    <n v="3.8461538461538464E-2"/>
    <x v="4"/>
    <n v="4"/>
    <x v="1"/>
    <n v="0"/>
    <n v="0"/>
    <n v="0"/>
    <x v="1"/>
  </r>
  <r>
    <n v="295"/>
    <n v="1296"/>
    <s v="V2"/>
    <n v="30"/>
    <n v="14"/>
    <x v="2"/>
    <n v="0.35714285714285715"/>
    <x v="4"/>
    <n v="4"/>
    <x v="0"/>
    <n v="0"/>
    <n v="0"/>
    <n v="1"/>
    <x v="0"/>
  </r>
  <r>
    <n v="296"/>
    <n v="1297"/>
    <s v="V2"/>
    <n v="45"/>
    <n v="35"/>
    <x v="6"/>
    <n v="2.8571428571428571E-2"/>
    <x v="3"/>
    <n v="3"/>
    <x v="0"/>
    <n v="0"/>
    <n v="0"/>
    <n v="0"/>
    <x v="1"/>
  </r>
  <r>
    <n v="297"/>
    <n v="1298"/>
    <s v="V1"/>
    <n v="30"/>
    <n v="21"/>
    <x v="2"/>
    <n v="0.23809523809523808"/>
    <x v="6"/>
    <n v="4"/>
    <x v="0"/>
    <n v="0"/>
    <n v="0"/>
    <n v="0"/>
    <x v="0"/>
  </r>
  <r>
    <n v="298"/>
    <n v="1299"/>
    <s v="V3"/>
    <n v="30"/>
    <n v="18"/>
    <x v="1"/>
    <n v="0.16666666666666666"/>
    <x v="5"/>
    <n v="4"/>
    <x v="1"/>
    <n v="0"/>
    <n v="0"/>
    <n v="0"/>
    <x v="1"/>
  </r>
  <r>
    <n v="299"/>
    <n v="1300"/>
    <s v="V2"/>
    <n v="45"/>
    <n v="32"/>
    <x v="0"/>
    <n v="0.25"/>
    <x v="0"/>
    <n v="1"/>
    <x v="1"/>
    <n v="0"/>
    <n v="0"/>
    <n v="0"/>
    <x v="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7" cacheId="2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12">
  <location ref="F12:G20" firstHeaderRow="1" firstDataRow="1" firstDataCol="1"/>
  <pivotFields count="14"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name="Number of Ads Shown" axis="axisRow" compact="0" outline="0" subtotalTop="0" showAll="0" defaultSubtotal="0">
      <items count="8">
        <item x="6"/>
        <item x="5"/>
        <item x="1"/>
        <item x="4"/>
        <item x="2"/>
        <item x="3"/>
        <item x="7"/>
        <item x="0"/>
      </items>
    </pivotField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  <pivotField dataField="1" compact="0" outline="0" subtotalTop="0" showAll="0" defaultSubtotal="0"/>
    <pivotField compact="0" outline="0" subtotalTop="0" showAll="0" defaultSubtotal="0"/>
    <pivotField compact="0" outline="0" subtotalTop="0" showAll="0" defaultSubtotal="0"/>
    <pivotField compact="0" outline="0" subtotalTop="0" showAll="0" defaultSubtotal="0"/>
  </pivotFields>
  <rowFields count="1">
    <field x="5"/>
  </rowFields>
  <rowItems count="8">
    <i>
      <x/>
    </i>
    <i>
      <x v="1"/>
    </i>
    <i>
      <x v="2"/>
    </i>
    <i>
      <x v="3"/>
    </i>
    <i>
      <x v="4"/>
    </i>
    <i>
      <x v="5"/>
    </i>
    <i>
      <x v="6"/>
    </i>
    <i>
      <x v="7"/>
    </i>
  </rowItems>
  <colItems count="1">
    <i/>
  </colItems>
  <dataFields count="1">
    <dataField name="Average of session_completed" fld="10" subtotal="average" baseField="5" baseItem="0" numFmtId="164"/>
  </dataFields>
  <chartFormats count="1">
    <chartFormat chart="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2.xml><?xml version="1.0" encoding="utf-8"?>
<pivotTableDefinition xmlns="http://schemas.openxmlformats.org/spreadsheetml/2006/main" name="PivotTable6" cacheId="2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34">
  <location ref="A12:B14" firstHeaderRow="1" firstDataRow="1" firstDataCol="1"/>
  <pivotFields count="1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Number of Ads after pause" axis="axisRow" compact="0" outline="0" showAll="0" defaultSubtotal="0">
      <items count="2">
        <item x="1"/>
        <item x="0"/>
      </items>
    </pivotField>
    <pivotField compact="0" outline="0" showAll="0" defaultSubtotal="0"/>
    <pivotField dataField="1" compact="0" outline="0" showAll="0" defaultSubtotal="0"/>
    <pivotField compact="0" outline="0" showAll="0" defaultSubtotal="0"/>
    <pivotField compact="0" outline="0" showAll="0" defaultSubtotal="0"/>
  </pivotFields>
  <rowFields count="1">
    <field x="9"/>
  </rowFields>
  <rowItems count="2">
    <i>
      <x/>
    </i>
    <i>
      <x v="1"/>
    </i>
  </rowItems>
  <colItems count="1">
    <i/>
  </colItems>
  <dataFields count="1">
    <dataField name="Drop-off Rate" fld="11" subtotal="average" baseField="9" baseItem="0" numFmtId="164"/>
  </dataFields>
  <chartFormats count="1">
    <chartFormat chart="23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3.xml><?xml version="1.0" encoding="utf-8"?>
<pivotTableDefinition xmlns="http://schemas.openxmlformats.org/spreadsheetml/2006/main" name="PivotTable5" cacheId="2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26">
  <location ref="F1:G8" firstHeaderRow="1" firstDataRow="1" firstDataCol="1"/>
  <pivotFields count="1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name="Same Ads Repeat count" axis="axisRow" compact="0" outline="0" showAll="0" defaultSubtotal="0">
      <items count="7">
        <item x="2"/>
        <item x="5"/>
        <item x="1"/>
        <item x="3"/>
        <item x="4"/>
        <item x="6"/>
        <item x="0"/>
      </items>
    </pivotField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</pivotFields>
  <rowFields count="1">
    <field x="7"/>
  </rowFields>
  <rowItems count="7">
    <i>
      <x/>
    </i>
    <i>
      <x v="1"/>
    </i>
    <i>
      <x v="2"/>
    </i>
    <i>
      <x v="3"/>
    </i>
    <i>
      <x v="4"/>
    </i>
    <i>
      <x v="5"/>
    </i>
    <i>
      <x v="6"/>
    </i>
  </rowItems>
  <colItems count="1">
    <i/>
  </colItems>
  <dataFields count="1">
    <dataField name="Retention rate" fld="12" subtotal="average" baseField="7" baseItem="0" numFmtId="164"/>
  </dataFields>
  <chartFormats count="1">
    <chartFormat chart="15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pivotTables/pivotTable4.xml><?xml version="1.0" encoding="utf-8"?>
<pivotTableDefinition xmlns="http://schemas.openxmlformats.org/spreadsheetml/2006/main" name="PivotTable4" cacheId="22" applyNumberFormats="0" applyBorderFormats="0" applyFontFormats="0" applyPatternFormats="0" applyAlignmentFormats="0" applyWidthHeightFormats="1" dataCaption="Values" updatedVersion="5" minRefreshableVersion="3" useAutoFormatting="1" rowGrandTotals="0" colGrandTotals="0" itemPrintTitles="1" createdVersion="5" indent="0" compact="0" compactData="0" multipleFieldFilters="0" chartFormat="33">
  <location ref="A1:B4" firstHeaderRow="1" firstDataRow="1" firstDataCol="1"/>
  <pivotFields count="14"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compact="0" outline="0" showAll="0" defaultSubtotal="0"/>
    <pivotField dataField="1" compact="0" outline="0" showAll="0" defaultSubtotal="0"/>
    <pivotField compact="0" outline="0" showAll="0" defaultSubtotal="0"/>
    <pivotField name="Ads Frequency" axis="axisRow" compact="0" outline="0" showAll="0" defaultSubtotal="0">
      <items count="3">
        <item x="2"/>
        <item x="1"/>
        <item x="0"/>
      </items>
    </pivotField>
  </pivotFields>
  <rowFields count="1">
    <field x="13"/>
  </rowFields>
  <rowItems count="3">
    <i>
      <x/>
    </i>
    <i>
      <x v="1"/>
    </i>
    <i>
      <x v="2"/>
    </i>
  </rowItems>
  <colItems count="1">
    <i/>
  </colItems>
  <dataFields count="1">
    <dataField name="Drop-off Rate" fld="11" subtotal="average" baseField="13" baseItem="0" numFmtId="164"/>
  </dataFields>
  <chartFormats count="1">
    <chartFormat chart="22" format="1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3.xml"/><Relationship Id="rId2" Type="http://schemas.openxmlformats.org/officeDocument/2006/relationships/pivotTable" Target="../pivotTables/pivotTable2.xml"/><Relationship Id="rId1" Type="http://schemas.openxmlformats.org/officeDocument/2006/relationships/pivotTable" Target="../pivotTables/pivotTable1.xml"/><Relationship Id="rId5" Type="http://schemas.openxmlformats.org/officeDocument/2006/relationships/printerSettings" Target="../printerSettings/printerSettings1.bin"/><Relationship Id="rId4" Type="http://schemas.openxmlformats.org/officeDocument/2006/relationships/pivotTable" Target="../pivotTables/pivotTable4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16"/>
  <sheetViews>
    <sheetView workbookViewId="0">
      <selection activeCell="O13" sqref="O13"/>
    </sheetView>
  </sheetViews>
  <sheetFormatPr defaultRowHeight="15" x14ac:dyDescent="0.25"/>
  <sheetData>
    <row r="1" spans="1:13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</row>
    <row r="2" spans="1:13" x14ac:dyDescent="0.25">
      <c r="A2">
        <v>101</v>
      </c>
      <c r="B2">
        <v>1001</v>
      </c>
      <c r="C2" t="s">
        <v>12</v>
      </c>
      <c r="D2">
        <v>60</v>
      </c>
      <c r="E2">
        <v>55</v>
      </c>
      <c r="F2">
        <v>6</v>
      </c>
      <c r="G2">
        <v>0.1</v>
      </c>
      <c r="H2">
        <v>1</v>
      </c>
      <c r="I2">
        <v>1</v>
      </c>
      <c r="J2">
        <v>0</v>
      </c>
      <c r="K2">
        <v>1</v>
      </c>
      <c r="L2">
        <v>0</v>
      </c>
      <c r="M2">
        <v>1</v>
      </c>
    </row>
    <row r="3" spans="1:13" x14ac:dyDescent="0.25">
      <c r="A3">
        <v>102</v>
      </c>
      <c r="B3">
        <v>1002</v>
      </c>
      <c r="C3" t="s">
        <v>13</v>
      </c>
      <c r="D3">
        <v>45</v>
      </c>
      <c r="E3">
        <v>20</v>
      </c>
      <c r="F3">
        <v>8</v>
      </c>
      <c r="G3">
        <v>0.4</v>
      </c>
      <c r="H3">
        <v>3</v>
      </c>
      <c r="I3">
        <v>2</v>
      </c>
      <c r="J3">
        <v>1</v>
      </c>
      <c r="K3">
        <v>0</v>
      </c>
      <c r="L3">
        <v>1</v>
      </c>
      <c r="M3">
        <v>0</v>
      </c>
    </row>
    <row r="4" spans="1:13" x14ac:dyDescent="0.25">
      <c r="A4">
        <v>103</v>
      </c>
      <c r="B4">
        <v>1003</v>
      </c>
      <c r="C4" t="s">
        <v>14</v>
      </c>
      <c r="D4">
        <v>30</v>
      </c>
      <c r="E4">
        <v>28</v>
      </c>
      <c r="F4">
        <v>3</v>
      </c>
      <c r="G4">
        <v>0.1</v>
      </c>
      <c r="H4">
        <v>0</v>
      </c>
      <c r="I4">
        <v>0</v>
      </c>
      <c r="J4">
        <v>0</v>
      </c>
      <c r="K4">
        <v>1</v>
      </c>
      <c r="L4">
        <v>0</v>
      </c>
      <c r="M4">
        <v>1</v>
      </c>
    </row>
    <row r="5" spans="1:13" x14ac:dyDescent="0.25">
      <c r="A5">
        <v>104</v>
      </c>
      <c r="B5">
        <v>1004</v>
      </c>
      <c r="C5" t="s">
        <v>12</v>
      </c>
      <c r="D5">
        <v>60</v>
      </c>
      <c r="E5">
        <v>15</v>
      </c>
      <c r="F5">
        <v>10</v>
      </c>
      <c r="G5">
        <v>0.66</v>
      </c>
      <c r="H5">
        <v>4</v>
      </c>
      <c r="I5">
        <v>3</v>
      </c>
      <c r="J5">
        <v>1</v>
      </c>
      <c r="K5">
        <v>0</v>
      </c>
      <c r="L5">
        <v>1</v>
      </c>
      <c r="M5">
        <v>0</v>
      </c>
    </row>
    <row r="6" spans="1:13" x14ac:dyDescent="0.25">
      <c r="A6">
        <v>105</v>
      </c>
      <c r="B6">
        <v>1005</v>
      </c>
      <c r="C6" t="s">
        <v>13</v>
      </c>
      <c r="D6">
        <v>50</v>
      </c>
      <c r="E6">
        <v>40</v>
      </c>
      <c r="F6">
        <v>5</v>
      </c>
      <c r="G6">
        <v>0.12</v>
      </c>
      <c r="H6">
        <v>1</v>
      </c>
      <c r="I6">
        <v>1</v>
      </c>
      <c r="J6">
        <v>0</v>
      </c>
      <c r="K6">
        <v>1</v>
      </c>
      <c r="L6">
        <v>0</v>
      </c>
      <c r="M6">
        <v>1</v>
      </c>
    </row>
    <row r="7" spans="1:13" x14ac:dyDescent="0.25">
      <c r="A7">
        <v>106</v>
      </c>
      <c r="B7">
        <v>1006</v>
      </c>
      <c r="C7" t="s">
        <v>14</v>
      </c>
      <c r="D7">
        <v>35</v>
      </c>
      <c r="E7">
        <v>10</v>
      </c>
      <c r="F7">
        <v>7</v>
      </c>
      <c r="G7">
        <v>0.7</v>
      </c>
      <c r="H7">
        <v>5</v>
      </c>
      <c r="I7">
        <v>2</v>
      </c>
      <c r="J7">
        <v>1</v>
      </c>
      <c r="K7">
        <v>0</v>
      </c>
      <c r="L7">
        <v>1</v>
      </c>
      <c r="M7">
        <v>0</v>
      </c>
    </row>
    <row r="8" spans="1:13" x14ac:dyDescent="0.25">
      <c r="A8">
        <v>107</v>
      </c>
      <c r="B8">
        <v>1007</v>
      </c>
      <c r="C8" t="s">
        <v>12</v>
      </c>
      <c r="D8">
        <v>60</v>
      </c>
      <c r="E8">
        <v>58</v>
      </c>
      <c r="F8">
        <v>4</v>
      </c>
      <c r="G8">
        <v>0.06</v>
      </c>
      <c r="H8">
        <v>0</v>
      </c>
      <c r="I8">
        <v>1</v>
      </c>
      <c r="J8">
        <v>0</v>
      </c>
      <c r="K8">
        <v>1</v>
      </c>
      <c r="L8">
        <v>0</v>
      </c>
      <c r="M8">
        <v>1</v>
      </c>
    </row>
    <row r="9" spans="1:13" x14ac:dyDescent="0.25">
      <c r="A9">
        <v>108</v>
      </c>
      <c r="B9">
        <v>1008</v>
      </c>
      <c r="C9" t="s">
        <v>13</v>
      </c>
      <c r="D9">
        <v>45</v>
      </c>
      <c r="E9">
        <v>18</v>
      </c>
      <c r="F9">
        <v>9</v>
      </c>
      <c r="G9">
        <v>0.5</v>
      </c>
      <c r="H9">
        <v>3</v>
      </c>
      <c r="I9">
        <v>3</v>
      </c>
      <c r="J9">
        <v>1</v>
      </c>
      <c r="K9">
        <v>0</v>
      </c>
      <c r="L9">
        <v>1</v>
      </c>
      <c r="M9">
        <v>0</v>
      </c>
    </row>
    <row r="10" spans="1:13" x14ac:dyDescent="0.25">
      <c r="A10">
        <v>109</v>
      </c>
      <c r="B10">
        <v>1009</v>
      </c>
      <c r="C10" t="s">
        <v>14</v>
      </c>
      <c r="D10">
        <v>30</v>
      </c>
      <c r="E10">
        <v>25</v>
      </c>
      <c r="F10">
        <v>4</v>
      </c>
      <c r="G10">
        <v>0.13</v>
      </c>
      <c r="H10">
        <v>2</v>
      </c>
      <c r="I10">
        <v>1</v>
      </c>
      <c r="J10">
        <v>0</v>
      </c>
      <c r="K10">
        <v>1</v>
      </c>
      <c r="L10">
        <v>0</v>
      </c>
      <c r="M10">
        <v>1</v>
      </c>
    </row>
    <row r="11" spans="1:13" x14ac:dyDescent="0.25">
      <c r="A11">
        <v>110</v>
      </c>
      <c r="B11">
        <v>1010</v>
      </c>
      <c r="C11" t="s">
        <v>12</v>
      </c>
      <c r="D11">
        <v>60</v>
      </c>
      <c r="E11">
        <v>12</v>
      </c>
      <c r="F11">
        <v>11</v>
      </c>
      <c r="G11">
        <v>0.91</v>
      </c>
      <c r="H11">
        <v>6</v>
      </c>
      <c r="I11">
        <v>4</v>
      </c>
      <c r="J11">
        <v>1</v>
      </c>
      <c r="K11">
        <v>0</v>
      </c>
      <c r="L11">
        <v>1</v>
      </c>
      <c r="M11">
        <v>0</v>
      </c>
    </row>
    <row r="12" spans="1:13" x14ac:dyDescent="0.25">
      <c r="A12">
        <v>111</v>
      </c>
      <c r="B12">
        <v>1011</v>
      </c>
      <c r="C12" t="s">
        <v>13</v>
      </c>
      <c r="D12">
        <v>50</v>
      </c>
      <c r="E12">
        <v>42</v>
      </c>
      <c r="F12">
        <v>5</v>
      </c>
      <c r="G12">
        <v>0.11</v>
      </c>
      <c r="H12">
        <v>1</v>
      </c>
      <c r="I12">
        <v>1</v>
      </c>
      <c r="J12">
        <v>0</v>
      </c>
      <c r="K12">
        <v>1</v>
      </c>
      <c r="L12">
        <v>0</v>
      </c>
      <c r="M12">
        <v>1</v>
      </c>
    </row>
    <row r="13" spans="1:13" x14ac:dyDescent="0.25">
      <c r="A13">
        <v>112</v>
      </c>
      <c r="B13">
        <v>1012</v>
      </c>
      <c r="C13" t="s">
        <v>14</v>
      </c>
      <c r="D13">
        <v>35</v>
      </c>
      <c r="E13">
        <v>30</v>
      </c>
      <c r="F13">
        <v>3</v>
      </c>
      <c r="G13">
        <v>0.08</v>
      </c>
      <c r="H13">
        <v>0</v>
      </c>
      <c r="I13">
        <v>0</v>
      </c>
      <c r="J13">
        <v>0</v>
      </c>
      <c r="K13">
        <v>1</v>
      </c>
      <c r="L13">
        <v>0</v>
      </c>
      <c r="M13">
        <v>1</v>
      </c>
    </row>
    <row r="14" spans="1:13" x14ac:dyDescent="0.25">
      <c r="A14">
        <v>113</v>
      </c>
      <c r="B14">
        <v>1013</v>
      </c>
      <c r="C14" t="s">
        <v>12</v>
      </c>
      <c r="D14">
        <v>60</v>
      </c>
      <c r="E14">
        <v>22</v>
      </c>
      <c r="F14">
        <v>8</v>
      </c>
      <c r="G14">
        <v>0.36</v>
      </c>
      <c r="H14">
        <v>3</v>
      </c>
      <c r="I14">
        <v>2</v>
      </c>
      <c r="J14">
        <v>1</v>
      </c>
      <c r="K14">
        <v>0</v>
      </c>
      <c r="L14">
        <v>1</v>
      </c>
      <c r="M14">
        <v>0</v>
      </c>
    </row>
    <row r="15" spans="1:13" x14ac:dyDescent="0.25">
      <c r="A15">
        <v>114</v>
      </c>
      <c r="B15">
        <v>1014</v>
      </c>
      <c r="C15" t="s">
        <v>13</v>
      </c>
      <c r="D15">
        <v>45</v>
      </c>
      <c r="E15">
        <v>38</v>
      </c>
      <c r="F15">
        <v>6</v>
      </c>
      <c r="G15">
        <v>0.15</v>
      </c>
      <c r="H15">
        <v>2</v>
      </c>
      <c r="I15">
        <v>1</v>
      </c>
      <c r="J15">
        <v>0</v>
      </c>
      <c r="K15">
        <v>1</v>
      </c>
      <c r="L15">
        <v>0</v>
      </c>
      <c r="M15">
        <v>1</v>
      </c>
    </row>
    <row r="16" spans="1:13" x14ac:dyDescent="0.25">
      <c r="A16">
        <v>115</v>
      </c>
      <c r="B16">
        <v>1015</v>
      </c>
      <c r="C16" t="s">
        <v>14</v>
      </c>
      <c r="D16">
        <v>30</v>
      </c>
      <c r="E16">
        <v>14</v>
      </c>
      <c r="F16">
        <v>7</v>
      </c>
      <c r="G16">
        <v>0.5</v>
      </c>
      <c r="H16">
        <v>4</v>
      </c>
      <c r="I16">
        <v>2</v>
      </c>
      <c r="J16">
        <v>1</v>
      </c>
      <c r="K16">
        <v>0</v>
      </c>
      <c r="L16">
        <v>1</v>
      </c>
      <c r="M16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G20"/>
  <sheetViews>
    <sheetView workbookViewId="0">
      <selection activeCell="F12" sqref="F12"/>
    </sheetView>
  </sheetViews>
  <sheetFormatPr defaultRowHeight="15" x14ac:dyDescent="0.25"/>
  <cols>
    <col min="1" max="1" width="27.42578125" customWidth="1"/>
    <col min="2" max="2" width="13.140625" customWidth="1"/>
    <col min="6" max="6" width="23.7109375" customWidth="1"/>
    <col min="7" max="7" width="28.7109375" customWidth="1"/>
  </cols>
  <sheetData>
    <row r="1" spans="1:7" x14ac:dyDescent="0.25">
      <c r="A1" s="1" t="s">
        <v>25</v>
      </c>
      <c r="B1" t="s">
        <v>22</v>
      </c>
      <c r="F1" s="1" t="s">
        <v>23</v>
      </c>
      <c r="G1" t="s">
        <v>21</v>
      </c>
    </row>
    <row r="2" spans="1:7" x14ac:dyDescent="0.25">
      <c r="A2" t="s">
        <v>17</v>
      </c>
      <c r="B2" s="2">
        <v>1</v>
      </c>
      <c r="F2">
        <v>0</v>
      </c>
      <c r="G2" s="2">
        <v>1</v>
      </c>
    </row>
    <row r="3" spans="1:7" x14ac:dyDescent="0.25">
      <c r="A3" t="s">
        <v>18</v>
      </c>
      <c r="B3" s="2">
        <v>0</v>
      </c>
      <c r="F3">
        <v>1</v>
      </c>
      <c r="G3" s="2">
        <v>0.75</v>
      </c>
    </row>
    <row r="4" spans="1:7" x14ac:dyDescent="0.25">
      <c r="A4" t="s">
        <v>19</v>
      </c>
      <c r="B4" s="2">
        <v>0.18947368421052632</v>
      </c>
      <c r="F4">
        <v>2</v>
      </c>
      <c r="G4" s="2">
        <v>0.6470588235294118</v>
      </c>
    </row>
    <row r="5" spans="1:7" x14ac:dyDescent="0.25">
      <c r="F5">
        <v>3</v>
      </c>
      <c r="G5" s="2">
        <v>0.54054054054054057</v>
      </c>
    </row>
    <row r="6" spans="1:7" x14ac:dyDescent="0.25">
      <c r="F6">
        <v>4</v>
      </c>
      <c r="G6" s="2">
        <v>0.50980392156862742</v>
      </c>
    </row>
    <row r="7" spans="1:7" x14ac:dyDescent="0.25">
      <c r="F7">
        <v>5</v>
      </c>
      <c r="G7" s="2">
        <v>6.8181818181818177E-2</v>
      </c>
    </row>
    <row r="8" spans="1:7" x14ac:dyDescent="0.25">
      <c r="F8">
        <v>6</v>
      </c>
      <c r="G8" s="2">
        <v>4.878048780487805E-2</v>
      </c>
    </row>
    <row r="12" spans="1:7" x14ac:dyDescent="0.25">
      <c r="A12" s="1" t="s">
        <v>26</v>
      </c>
      <c r="B12" t="s">
        <v>22</v>
      </c>
      <c r="F12" s="1" t="s">
        <v>24</v>
      </c>
      <c r="G12" t="s">
        <v>20</v>
      </c>
    </row>
    <row r="13" spans="1:7" x14ac:dyDescent="0.25">
      <c r="A13">
        <v>0</v>
      </c>
      <c r="B13" s="2">
        <v>4.7872340425531915E-2</v>
      </c>
      <c r="F13">
        <v>1</v>
      </c>
      <c r="G13" s="2">
        <v>0.2</v>
      </c>
    </row>
    <row r="14" spans="1:7" x14ac:dyDescent="0.25">
      <c r="A14">
        <v>1</v>
      </c>
      <c r="B14" s="2">
        <v>9.0090090090090086E-2</v>
      </c>
      <c r="F14">
        <v>2</v>
      </c>
      <c r="G14" s="2">
        <v>0.10256410256410256</v>
      </c>
    </row>
    <row r="15" spans="1:7" x14ac:dyDescent="0.25">
      <c r="F15">
        <v>3</v>
      </c>
      <c r="G15" s="2">
        <v>0.125</v>
      </c>
    </row>
    <row r="16" spans="1:7" x14ac:dyDescent="0.25">
      <c r="F16">
        <v>4</v>
      </c>
      <c r="G16" s="2">
        <v>0.23076923076923078</v>
      </c>
    </row>
    <row r="17" spans="6:7" x14ac:dyDescent="0.25">
      <c r="F17">
        <v>5</v>
      </c>
      <c r="G17" s="2">
        <v>0.27906976744186046</v>
      </c>
    </row>
    <row r="18" spans="6:7" x14ac:dyDescent="0.25">
      <c r="F18">
        <v>6</v>
      </c>
      <c r="G18" s="2">
        <v>0.11363636363636363</v>
      </c>
    </row>
    <row r="19" spans="6:7" x14ac:dyDescent="0.25">
      <c r="F19">
        <v>7</v>
      </c>
      <c r="G19" s="2">
        <v>0.13157894736842105</v>
      </c>
    </row>
    <row r="20" spans="6:7" x14ac:dyDescent="0.25">
      <c r="F20">
        <v>8</v>
      </c>
      <c r="G20" s="2">
        <v>0.16666666666666666</v>
      </c>
    </row>
  </sheetData>
  <pageMargins left="0.7" right="0.7" top="0.75" bottom="0.75" header="0.3" footer="0.3"/>
  <pageSetup orientation="portrait" horizontalDpi="1200" verticalDpi="1200" r:id="rId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zoomScale="85" zoomScaleNormal="85" zoomScaleSheetLayoutView="100" workbookViewId="0">
      <selection activeCell="T5" sqref="T5"/>
    </sheetView>
  </sheetViews>
  <sheetFormatPr defaultRowHeight="15" x14ac:dyDescent="0.25"/>
  <sheetData/>
  <pageMargins left="0.7" right="0.7" top="0.75" bottom="0.75" header="0.3" footer="0.3"/>
  <pageSetup orientation="portrait" horizontalDpi="1200" verticalDpi="1200" r:id="rId1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300"/>
  <sheetViews>
    <sheetView workbookViewId="0">
      <selection activeCell="G15" sqref="A1:N300"/>
    </sheetView>
  </sheetViews>
  <sheetFormatPr defaultRowHeight="15" x14ac:dyDescent="0.25"/>
  <cols>
    <col min="4" max="4" width="18.7109375" customWidth="1"/>
    <col min="5" max="5" width="16.140625" customWidth="1"/>
    <col min="7" max="7" width="17" customWidth="1"/>
    <col min="8" max="8" width="17.140625" customWidth="1"/>
    <col min="9" max="9" width="22.7109375" customWidth="1"/>
    <col min="10" max="10" width="14.5703125" customWidth="1"/>
    <col min="11" max="11" width="17.5703125" customWidth="1"/>
    <col min="12" max="12" width="21.140625" customWidth="1"/>
    <col min="13" max="13" width="19.7109375" customWidth="1"/>
    <col min="14" max="14" width="18.85546875" customWidth="1"/>
  </cols>
  <sheetData>
    <row r="1" spans="1:14" x14ac:dyDescent="0.25">
      <c r="A1" t="s">
        <v>15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16</v>
      </c>
    </row>
    <row r="2" spans="1:14" x14ac:dyDescent="0.25">
      <c r="A2">
        <f>ROW()-1</f>
        <v>1</v>
      </c>
      <c r="B2">
        <f>1000 + ROW()</f>
        <v>1002</v>
      </c>
      <c r="C2" t="str">
        <f ca="1">CHOOSE(RANDBETWEEN(1,3),"V1","V2","V3")</f>
        <v>V1</v>
      </c>
      <c r="D2">
        <f ca="1">CHOOSE(RANDBETWEEN(1,3),30,45,60)</f>
        <v>30</v>
      </c>
      <c r="E2">
        <f ca="1">RANDBETWEEN(D2*0.4,D2)</f>
        <v>12</v>
      </c>
      <c r="F2">
        <f ca="1">RANDBETWEEN(1,8)</f>
        <v>7</v>
      </c>
      <c r="G2">
        <f ca="1">F2/E2</f>
        <v>0.58333333333333337</v>
      </c>
      <c r="H2">
        <f ca="1">RANDBETWEEN(0,6)</f>
        <v>0</v>
      </c>
      <c r="I2">
        <f ca="1">RANDBETWEEN(0,4)</f>
        <v>3</v>
      </c>
      <c r="J2">
        <f ca="1">IF(I2&gt;0,RANDBETWEEN(0,1),0)</f>
        <v>0</v>
      </c>
      <c r="K2">
        <f ca="1">IF(E2/D2&gt;0.9,1,0)</f>
        <v>0</v>
      </c>
      <c r="L2">
        <f ca="1">IF(G2&gt;0.6,1,IF(G2&gt;0.3,RANDBETWEEN(0,1),0))</f>
        <v>1</v>
      </c>
      <c r="M2">
        <f ca="1">IF(H2&gt;=5, IF(RAND()&lt;0.1,1,0),
   IF(H2&gt;=3, IF(RAND()&lt;0.4,1,0),
      IF(H2&gt;=1, IF(RAND()&lt;0.7,1,0),
         1)))</f>
        <v>1</v>
      </c>
      <c r="N2" t="str">
        <f ca="1">IF(G2&lt;0.2,"Low",IF(G2&lt;=0.5,"Medium","High"))</f>
        <v>High</v>
      </c>
    </row>
    <row r="3" spans="1:14" x14ac:dyDescent="0.25">
      <c r="A3">
        <f t="shared" ref="A3:A66" si="0">ROW()-1</f>
        <v>2</v>
      </c>
      <c r="B3">
        <f t="shared" ref="B3:B66" si="1">1000 + ROW()</f>
        <v>1003</v>
      </c>
      <c r="C3" t="str">
        <f t="shared" ref="C3:C66" ca="1" si="2">CHOOSE(RANDBETWEEN(1,3),"V1","V2","V3")</f>
        <v>V1</v>
      </c>
      <c r="D3">
        <f t="shared" ref="D3:D66" ca="1" si="3">CHOOSE(RANDBETWEEN(1,3),30,45,60)</f>
        <v>45</v>
      </c>
      <c r="E3">
        <f t="shared" ref="E3:E66" ca="1" si="4">RANDBETWEEN(D3*0.4,D3)</f>
        <v>44</v>
      </c>
      <c r="F3">
        <f t="shared" ref="F3:F66" ca="1" si="5">RANDBETWEEN(1,8)</f>
        <v>7</v>
      </c>
      <c r="G3">
        <f t="shared" ref="G3:G66" ca="1" si="6">F3/E3</f>
        <v>0.15909090909090909</v>
      </c>
      <c r="H3">
        <f t="shared" ref="H3:H66" ca="1" si="7">RANDBETWEEN(0,6)</f>
        <v>4</v>
      </c>
      <c r="I3">
        <f t="shared" ref="I3:I66" ca="1" si="8">RANDBETWEEN(0,4)</f>
        <v>1</v>
      </c>
      <c r="J3">
        <f t="shared" ref="J3:J66" ca="1" si="9">IF(I3&gt;0,RANDBETWEEN(0,1),0)</f>
        <v>0</v>
      </c>
      <c r="K3">
        <f t="shared" ref="K3:K66" ca="1" si="10">IF(E3/D3&gt;0.9,1,0)</f>
        <v>1</v>
      </c>
      <c r="L3">
        <f t="shared" ref="L3:L66" ca="1" si="11">IF(G3&gt;0.6,1,IF(G3&gt;0.3,RANDBETWEEN(0,1),0))</f>
        <v>0</v>
      </c>
      <c r="M3">
        <f t="shared" ref="M3:M66" ca="1" si="12">IF(H3&gt;=5, IF(RAND()&lt;0.1,1,0),
   IF(H3&gt;=3, IF(RAND()&lt;0.4,1,0),
      IF(H3&gt;=1, IF(RAND()&lt;0.7,1,0),
         1)))</f>
        <v>1</v>
      </c>
      <c r="N3" t="str">
        <f t="shared" ref="N3:N66" ca="1" si="13">IF(G3&lt;0.2,"Low",IF(G3&lt;=0.5,"Medium","High"))</f>
        <v>Low</v>
      </c>
    </row>
    <row r="4" spans="1:14" x14ac:dyDescent="0.25">
      <c r="A4">
        <f t="shared" si="0"/>
        <v>3</v>
      </c>
      <c r="B4">
        <f t="shared" si="1"/>
        <v>1004</v>
      </c>
      <c r="C4" t="str">
        <f t="shared" ca="1" si="2"/>
        <v>V2</v>
      </c>
      <c r="D4">
        <f t="shared" ca="1" si="3"/>
        <v>30</v>
      </c>
      <c r="E4">
        <f t="shared" ca="1" si="4"/>
        <v>13</v>
      </c>
      <c r="F4">
        <f t="shared" ca="1" si="5"/>
        <v>8</v>
      </c>
      <c r="G4">
        <f t="shared" ca="1" si="6"/>
        <v>0.61538461538461542</v>
      </c>
      <c r="H4">
        <f t="shared" ca="1" si="7"/>
        <v>5</v>
      </c>
      <c r="I4">
        <f t="shared" ca="1" si="8"/>
        <v>1</v>
      </c>
      <c r="J4">
        <f t="shared" ca="1" si="9"/>
        <v>1</v>
      </c>
      <c r="K4">
        <f t="shared" ca="1" si="10"/>
        <v>0</v>
      </c>
      <c r="L4">
        <f t="shared" ca="1" si="11"/>
        <v>1</v>
      </c>
      <c r="M4">
        <f t="shared" ca="1" si="12"/>
        <v>0</v>
      </c>
      <c r="N4" t="str">
        <f t="shared" ca="1" si="13"/>
        <v>High</v>
      </c>
    </row>
    <row r="5" spans="1:14" x14ac:dyDescent="0.25">
      <c r="A5">
        <f t="shared" si="0"/>
        <v>4</v>
      </c>
      <c r="B5">
        <f t="shared" si="1"/>
        <v>1005</v>
      </c>
      <c r="C5" t="str">
        <f t="shared" ca="1" si="2"/>
        <v>V1</v>
      </c>
      <c r="D5">
        <f t="shared" ca="1" si="3"/>
        <v>60</v>
      </c>
      <c r="E5">
        <f t="shared" ca="1" si="4"/>
        <v>41</v>
      </c>
      <c r="F5">
        <f t="shared" ca="1" si="5"/>
        <v>3</v>
      </c>
      <c r="G5">
        <f t="shared" ca="1" si="6"/>
        <v>7.3170731707317069E-2</v>
      </c>
      <c r="H5">
        <f t="shared" ca="1" si="7"/>
        <v>4</v>
      </c>
      <c r="I5">
        <f t="shared" ca="1" si="8"/>
        <v>3</v>
      </c>
      <c r="J5">
        <f t="shared" ca="1" si="9"/>
        <v>0</v>
      </c>
      <c r="K5">
        <f t="shared" ca="1" si="10"/>
        <v>0</v>
      </c>
      <c r="L5">
        <f t="shared" ca="1" si="11"/>
        <v>0</v>
      </c>
      <c r="M5">
        <f t="shared" ca="1" si="12"/>
        <v>1</v>
      </c>
      <c r="N5" t="str">
        <f t="shared" ca="1" si="13"/>
        <v>Low</v>
      </c>
    </row>
    <row r="6" spans="1:14" x14ac:dyDescent="0.25">
      <c r="A6">
        <f t="shared" si="0"/>
        <v>5</v>
      </c>
      <c r="B6">
        <f t="shared" si="1"/>
        <v>1006</v>
      </c>
      <c r="C6" t="str">
        <f t="shared" ca="1" si="2"/>
        <v>V1</v>
      </c>
      <c r="D6">
        <f t="shared" ca="1" si="3"/>
        <v>30</v>
      </c>
      <c r="E6">
        <f t="shared" ca="1" si="4"/>
        <v>18</v>
      </c>
      <c r="F6">
        <f t="shared" ca="1" si="5"/>
        <v>7</v>
      </c>
      <c r="G6">
        <f t="shared" ca="1" si="6"/>
        <v>0.3888888888888889</v>
      </c>
      <c r="H6">
        <f t="shared" ca="1" si="7"/>
        <v>2</v>
      </c>
      <c r="I6">
        <f t="shared" ca="1" si="8"/>
        <v>3</v>
      </c>
      <c r="J6">
        <f t="shared" ca="1" si="9"/>
        <v>0</v>
      </c>
      <c r="K6">
        <f t="shared" ca="1" si="10"/>
        <v>0</v>
      </c>
      <c r="L6">
        <f t="shared" ca="1" si="11"/>
        <v>0</v>
      </c>
      <c r="M6">
        <f t="shared" ca="1" si="12"/>
        <v>1</v>
      </c>
      <c r="N6" t="str">
        <f t="shared" ca="1" si="13"/>
        <v>Medium</v>
      </c>
    </row>
    <row r="7" spans="1:14" x14ac:dyDescent="0.25">
      <c r="A7">
        <f t="shared" si="0"/>
        <v>6</v>
      </c>
      <c r="B7">
        <f t="shared" si="1"/>
        <v>1007</v>
      </c>
      <c r="C7" t="str">
        <f t="shared" ca="1" si="2"/>
        <v>V3</v>
      </c>
      <c r="D7">
        <f t="shared" ca="1" si="3"/>
        <v>60</v>
      </c>
      <c r="E7">
        <f t="shared" ca="1" si="4"/>
        <v>50</v>
      </c>
      <c r="F7">
        <f t="shared" ca="1" si="5"/>
        <v>6</v>
      </c>
      <c r="G7">
        <f t="shared" ca="1" si="6"/>
        <v>0.12</v>
      </c>
      <c r="H7">
        <f t="shared" ca="1" si="7"/>
        <v>2</v>
      </c>
      <c r="I7">
        <f t="shared" ca="1" si="8"/>
        <v>0</v>
      </c>
      <c r="J7">
        <f t="shared" ca="1" si="9"/>
        <v>0</v>
      </c>
      <c r="K7">
        <f t="shared" ca="1" si="10"/>
        <v>0</v>
      </c>
      <c r="L7">
        <f t="shared" ca="1" si="11"/>
        <v>0</v>
      </c>
      <c r="M7">
        <f t="shared" ca="1" si="12"/>
        <v>1</v>
      </c>
      <c r="N7" t="str">
        <f t="shared" ca="1" si="13"/>
        <v>Low</v>
      </c>
    </row>
    <row r="8" spans="1:14" x14ac:dyDescent="0.25">
      <c r="A8">
        <f t="shared" si="0"/>
        <v>7</v>
      </c>
      <c r="B8">
        <f t="shared" si="1"/>
        <v>1008</v>
      </c>
      <c r="C8" t="str">
        <f t="shared" ca="1" si="2"/>
        <v>V1</v>
      </c>
      <c r="D8">
        <f t="shared" ca="1" si="3"/>
        <v>30</v>
      </c>
      <c r="E8">
        <f t="shared" ca="1" si="4"/>
        <v>14</v>
      </c>
      <c r="F8">
        <f t="shared" ca="1" si="5"/>
        <v>5</v>
      </c>
      <c r="G8">
        <f t="shared" ca="1" si="6"/>
        <v>0.35714285714285715</v>
      </c>
      <c r="H8">
        <f t="shared" ca="1" si="7"/>
        <v>0</v>
      </c>
      <c r="I8">
        <f t="shared" ca="1" si="8"/>
        <v>2</v>
      </c>
      <c r="J8">
        <f t="shared" ca="1" si="9"/>
        <v>1</v>
      </c>
      <c r="K8">
        <f t="shared" ca="1" si="10"/>
        <v>0</v>
      </c>
      <c r="L8">
        <f t="shared" ca="1" si="11"/>
        <v>1</v>
      </c>
      <c r="M8">
        <f t="shared" ca="1" si="12"/>
        <v>1</v>
      </c>
      <c r="N8" t="str">
        <f t="shared" ca="1" si="13"/>
        <v>Medium</v>
      </c>
    </row>
    <row r="9" spans="1:14" x14ac:dyDescent="0.25">
      <c r="A9">
        <f t="shared" si="0"/>
        <v>8</v>
      </c>
      <c r="B9">
        <f t="shared" si="1"/>
        <v>1009</v>
      </c>
      <c r="C9" t="str">
        <f t="shared" ca="1" si="2"/>
        <v>V2</v>
      </c>
      <c r="D9">
        <f t="shared" ca="1" si="3"/>
        <v>60</v>
      </c>
      <c r="E9">
        <f t="shared" ca="1" si="4"/>
        <v>34</v>
      </c>
      <c r="F9">
        <f t="shared" ca="1" si="5"/>
        <v>1</v>
      </c>
      <c r="G9">
        <f t="shared" ca="1" si="6"/>
        <v>2.9411764705882353E-2</v>
      </c>
      <c r="H9">
        <f t="shared" ca="1" si="7"/>
        <v>4</v>
      </c>
      <c r="I9">
        <f t="shared" ca="1" si="8"/>
        <v>0</v>
      </c>
      <c r="J9">
        <f t="shared" ca="1" si="9"/>
        <v>0</v>
      </c>
      <c r="K9">
        <f t="shared" ca="1" si="10"/>
        <v>0</v>
      </c>
      <c r="L9">
        <f t="shared" ca="1" si="11"/>
        <v>0</v>
      </c>
      <c r="M9">
        <f t="shared" ca="1" si="12"/>
        <v>0</v>
      </c>
      <c r="N9" t="str">
        <f t="shared" ca="1" si="13"/>
        <v>Low</v>
      </c>
    </row>
    <row r="10" spans="1:14" x14ac:dyDescent="0.25">
      <c r="A10">
        <f t="shared" si="0"/>
        <v>9</v>
      </c>
      <c r="B10">
        <f t="shared" si="1"/>
        <v>1010</v>
      </c>
      <c r="C10" t="str">
        <f t="shared" ca="1" si="2"/>
        <v>V2</v>
      </c>
      <c r="D10">
        <f t="shared" ca="1" si="3"/>
        <v>60</v>
      </c>
      <c r="E10">
        <f t="shared" ca="1" si="4"/>
        <v>42</v>
      </c>
      <c r="F10">
        <f t="shared" ca="1" si="5"/>
        <v>1</v>
      </c>
      <c r="G10">
        <f t="shared" ca="1" si="6"/>
        <v>2.3809523809523808E-2</v>
      </c>
      <c r="H10">
        <f t="shared" ca="1" si="7"/>
        <v>6</v>
      </c>
      <c r="I10">
        <f t="shared" ca="1" si="8"/>
        <v>1</v>
      </c>
      <c r="J10">
        <f t="shared" ca="1" si="9"/>
        <v>0</v>
      </c>
      <c r="K10">
        <f t="shared" ca="1" si="10"/>
        <v>0</v>
      </c>
      <c r="L10">
        <f t="shared" ca="1" si="11"/>
        <v>0</v>
      </c>
      <c r="M10">
        <f t="shared" ca="1" si="12"/>
        <v>0</v>
      </c>
      <c r="N10" t="str">
        <f t="shared" ca="1" si="13"/>
        <v>Low</v>
      </c>
    </row>
    <row r="11" spans="1:14" x14ac:dyDescent="0.25">
      <c r="A11">
        <f t="shared" si="0"/>
        <v>10</v>
      </c>
      <c r="B11">
        <f t="shared" si="1"/>
        <v>1011</v>
      </c>
      <c r="C11" t="str">
        <f t="shared" ca="1" si="2"/>
        <v>V1</v>
      </c>
      <c r="D11">
        <f t="shared" ca="1" si="3"/>
        <v>30</v>
      </c>
      <c r="E11">
        <f t="shared" ca="1" si="4"/>
        <v>24</v>
      </c>
      <c r="F11">
        <f t="shared" ca="1" si="5"/>
        <v>5</v>
      </c>
      <c r="G11">
        <f t="shared" ca="1" si="6"/>
        <v>0.20833333333333334</v>
      </c>
      <c r="H11">
        <f t="shared" ca="1" si="7"/>
        <v>5</v>
      </c>
      <c r="I11">
        <f t="shared" ca="1" si="8"/>
        <v>1</v>
      </c>
      <c r="J11">
        <f t="shared" ca="1" si="9"/>
        <v>0</v>
      </c>
      <c r="K11">
        <f t="shared" ca="1" si="10"/>
        <v>0</v>
      </c>
      <c r="L11">
        <f t="shared" ca="1" si="11"/>
        <v>0</v>
      </c>
      <c r="M11">
        <f t="shared" ca="1" si="12"/>
        <v>0</v>
      </c>
      <c r="N11" t="str">
        <f t="shared" ca="1" si="13"/>
        <v>Medium</v>
      </c>
    </row>
    <row r="12" spans="1:14" x14ac:dyDescent="0.25">
      <c r="A12">
        <f t="shared" si="0"/>
        <v>11</v>
      </c>
      <c r="B12">
        <f t="shared" si="1"/>
        <v>1012</v>
      </c>
      <c r="C12" t="str">
        <f t="shared" ca="1" si="2"/>
        <v>V2</v>
      </c>
      <c r="D12">
        <f t="shared" ca="1" si="3"/>
        <v>60</v>
      </c>
      <c r="E12">
        <f t="shared" ca="1" si="4"/>
        <v>51</v>
      </c>
      <c r="F12">
        <f t="shared" ca="1" si="5"/>
        <v>4</v>
      </c>
      <c r="G12">
        <f t="shared" ca="1" si="6"/>
        <v>7.8431372549019607E-2</v>
      </c>
      <c r="H12">
        <f t="shared" ca="1" si="7"/>
        <v>5</v>
      </c>
      <c r="I12">
        <f t="shared" ca="1" si="8"/>
        <v>0</v>
      </c>
      <c r="J12">
        <f t="shared" ca="1" si="9"/>
        <v>0</v>
      </c>
      <c r="K12">
        <f t="shared" ca="1" si="10"/>
        <v>0</v>
      </c>
      <c r="L12">
        <f t="shared" ca="1" si="11"/>
        <v>0</v>
      </c>
      <c r="M12">
        <f t="shared" ca="1" si="12"/>
        <v>0</v>
      </c>
      <c r="N12" t="str">
        <f t="shared" ca="1" si="13"/>
        <v>Low</v>
      </c>
    </row>
    <row r="13" spans="1:14" x14ac:dyDescent="0.25">
      <c r="A13">
        <f t="shared" si="0"/>
        <v>12</v>
      </c>
      <c r="B13">
        <f t="shared" si="1"/>
        <v>1013</v>
      </c>
      <c r="C13" t="str">
        <f t="shared" ca="1" si="2"/>
        <v>V3</v>
      </c>
      <c r="D13">
        <f t="shared" ca="1" si="3"/>
        <v>30</v>
      </c>
      <c r="E13">
        <f t="shared" ca="1" si="4"/>
        <v>21</v>
      </c>
      <c r="F13">
        <f t="shared" ca="1" si="5"/>
        <v>7</v>
      </c>
      <c r="G13">
        <f t="shared" ca="1" si="6"/>
        <v>0.33333333333333331</v>
      </c>
      <c r="H13">
        <f t="shared" ca="1" si="7"/>
        <v>6</v>
      </c>
      <c r="I13">
        <f t="shared" ca="1" si="8"/>
        <v>0</v>
      </c>
      <c r="J13">
        <f t="shared" ca="1" si="9"/>
        <v>0</v>
      </c>
      <c r="K13">
        <f t="shared" ca="1" si="10"/>
        <v>0</v>
      </c>
      <c r="L13">
        <f t="shared" ca="1" si="11"/>
        <v>1</v>
      </c>
      <c r="M13">
        <f t="shared" ca="1" si="12"/>
        <v>1</v>
      </c>
      <c r="N13" t="str">
        <f t="shared" ca="1" si="13"/>
        <v>Medium</v>
      </c>
    </row>
    <row r="14" spans="1:14" x14ac:dyDescent="0.25">
      <c r="A14">
        <f t="shared" si="0"/>
        <v>13</v>
      </c>
      <c r="B14">
        <f t="shared" si="1"/>
        <v>1014</v>
      </c>
      <c r="C14" t="str">
        <f t="shared" ca="1" si="2"/>
        <v>V1</v>
      </c>
      <c r="D14">
        <f t="shared" ca="1" si="3"/>
        <v>30</v>
      </c>
      <c r="E14">
        <f t="shared" ca="1" si="4"/>
        <v>17</v>
      </c>
      <c r="F14">
        <f t="shared" ca="1" si="5"/>
        <v>3</v>
      </c>
      <c r="G14">
        <f t="shared" ca="1" si="6"/>
        <v>0.17647058823529413</v>
      </c>
      <c r="H14">
        <f t="shared" ca="1" si="7"/>
        <v>4</v>
      </c>
      <c r="I14">
        <f t="shared" ca="1" si="8"/>
        <v>1</v>
      </c>
      <c r="J14">
        <f t="shared" ca="1" si="9"/>
        <v>1</v>
      </c>
      <c r="K14">
        <f t="shared" ca="1" si="10"/>
        <v>0</v>
      </c>
      <c r="L14">
        <f t="shared" ca="1" si="11"/>
        <v>0</v>
      </c>
      <c r="M14">
        <f t="shared" ca="1" si="12"/>
        <v>1</v>
      </c>
      <c r="N14" t="str">
        <f t="shared" ca="1" si="13"/>
        <v>Low</v>
      </c>
    </row>
    <row r="15" spans="1:14" x14ac:dyDescent="0.25">
      <c r="A15">
        <f t="shared" si="0"/>
        <v>14</v>
      </c>
      <c r="B15">
        <f t="shared" si="1"/>
        <v>1015</v>
      </c>
      <c r="C15" t="str">
        <f t="shared" ca="1" si="2"/>
        <v>V1</v>
      </c>
      <c r="D15">
        <f t="shared" ca="1" si="3"/>
        <v>30</v>
      </c>
      <c r="E15">
        <f t="shared" ca="1" si="4"/>
        <v>25</v>
      </c>
      <c r="F15">
        <f t="shared" ca="1" si="5"/>
        <v>4</v>
      </c>
      <c r="G15">
        <f t="shared" ca="1" si="6"/>
        <v>0.16</v>
      </c>
      <c r="H15">
        <f t="shared" ca="1" si="7"/>
        <v>6</v>
      </c>
      <c r="I15">
        <f t="shared" ca="1" si="8"/>
        <v>0</v>
      </c>
      <c r="J15">
        <f t="shared" ca="1" si="9"/>
        <v>0</v>
      </c>
      <c r="K15">
        <f t="shared" ca="1" si="10"/>
        <v>0</v>
      </c>
      <c r="L15">
        <f t="shared" ca="1" si="11"/>
        <v>0</v>
      </c>
      <c r="M15">
        <f t="shared" ca="1" si="12"/>
        <v>0</v>
      </c>
      <c r="N15" t="str">
        <f t="shared" ca="1" si="13"/>
        <v>Low</v>
      </c>
    </row>
    <row r="16" spans="1:14" x14ac:dyDescent="0.25">
      <c r="A16">
        <f t="shared" si="0"/>
        <v>15</v>
      </c>
      <c r="B16">
        <f t="shared" si="1"/>
        <v>1016</v>
      </c>
      <c r="C16" t="str">
        <f t="shared" ca="1" si="2"/>
        <v>V2</v>
      </c>
      <c r="D16">
        <f t="shared" ca="1" si="3"/>
        <v>45</v>
      </c>
      <c r="E16">
        <f t="shared" ca="1" si="4"/>
        <v>30</v>
      </c>
      <c r="F16">
        <f t="shared" ca="1" si="5"/>
        <v>8</v>
      </c>
      <c r="G16">
        <f t="shared" ca="1" si="6"/>
        <v>0.26666666666666666</v>
      </c>
      <c r="H16">
        <f t="shared" ca="1" si="7"/>
        <v>2</v>
      </c>
      <c r="I16">
        <f t="shared" ca="1" si="8"/>
        <v>4</v>
      </c>
      <c r="J16">
        <f t="shared" ca="1" si="9"/>
        <v>1</v>
      </c>
      <c r="K16">
        <f t="shared" ca="1" si="10"/>
        <v>0</v>
      </c>
      <c r="L16">
        <f t="shared" ca="1" si="11"/>
        <v>0</v>
      </c>
      <c r="M16">
        <f t="shared" ca="1" si="12"/>
        <v>0</v>
      </c>
      <c r="N16" t="str">
        <f t="shared" ca="1" si="13"/>
        <v>Medium</v>
      </c>
    </row>
    <row r="17" spans="1:14" x14ac:dyDescent="0.25">
      <c r="A17">
        <f t="shared" si="0"/>
        <v>16</v>
      </c>
      <c r="B17">
        <f t="shared" si="1"/>
        <v>1017</v>
      </c>
      <c r="C17" t="str">
        <f t="shared" ca="1" si="2"/>
        <v>V3</v>
      </c>
      <c r="D17">
        <f t="shared" ca="1" si="3"/>
        <v>45</v>
      </c>
      <c r="E17">
        <f t="shared" ca="1" si="4"/>
        <v>37</v>
      </c>
      <c r="F17">
        <f t="shared" ca="1" si="5"/>
        <v>5</v>
      </c>
      <c r="G17">
        <f t="shared" ca="1" si="6"/>
        <v>0.13513513513513514</v>
      </c>
      <c r="H17">
        <f t="shared" ca="1" si="7"/>
        <v>1</v>
      </c>
      <c r="I17">
        <f t="shared" ca="1" si="8"/>
        <v>3</v>
      </c>
      <c r="J17">
        <f t="shared" ca="1" si="9"/>
        <v>1</v>
      </c>
      <c r="K17">
        <f t="shared" ca="1" si="10"/>
        <v>0</v>
      </c>
      <c r="L17">
        <f t="shared" ca="1" si="11"/>
        <v>0</v>
      </c>
      <c r="M17">
        <f t="shared" ca="1" si="12"/>
        <v>1</v>
      </c>
      <c r="N17" t="str">
        <f t="shared" ca="1" si="13"/>
        <v>Low</v>
      </c>
    </row>
    <row r="18" spans="1:14" x14ac:dyDescent="0.25">
      <c r="A18">
        <f t="shared" si="0"/>
        <v>17</v>
      </c>
      <c r="B18">
        <f t="shared" si="1"/>
        <v>1018</v>
      </c>
      <c r="C18" t="str">
        <f t="shared" ca="1" si="2"/>
        <v>V3</v>
      </c>
      <c r="D18">
        <f t="shared" ca="1" si="3"/>
        <v>45</v>
      </c>
      <c r="E18">
        <f t="shared" ca="1" si="4"/>
        <v>40</v>
      </c>
      <c r="F18">
        <f t="shared" ca="1" si="5"/>
        <v>1</v>
      </c>
      <c r="G18">
        <f t="shared" ca="1" si="6"/>
        <v>2.5000000000000001E-2</v>
      </c>
      <c r="H18">
        <f t="shared" ca="1" si="7"/>
        <v>1</v>
      </c>
      <c r="I18">
        <f t="shared" ca="1" si="8"/>
        <v>3</v>
      </c>
      <c r="J18">
        <f t="shared" ca="1" si="9"/>
        <v>1</v>
      </c>
      <c r="K18">
        <f t="shared" ca="1" si="10"/>
        <v>0</v>
      </c>
      <c r="L18">
        <f t="shared" ca="1" si="11"/>
        <v>0</v>
      </c>
      <c r="M18">
        <f t="shared" ca="1" si="12"/>
        <v>1</v>
      </c>
      <c r="N18" t="str">
        <f t="shared" ca="1" si="13"/>
        <v>Low</v>
      </c>
    </row>
    <row r="19" spans="1:14" x14ac:dyDescent="0.25">
      <c r="A19">
        <f t="shared" si="0"/>
        <v>18</v>
      </c>
      <c r="B19">
        <f t="shared" si="1"/>
        <v>1019</v>
      </c>
      <c r="C19" t="str">
        <f t="shared" ca="1" si="2"/>
        <v>V2</v>
      </c>
      <c r="D19">
        <f t="shared" ca="1" si="3"/>
        <v>30</v>
      </c>
      <c r="E19">
        <f t="shared" ca="1" si="4"/>
        <v>28</v>
      </c>
      <c r="F19">
        <f t="shared" ca="1" si="5"/>
        <v>6</v>
      </c>
      <c r="G19">
        <f t="shared" ca="1" si="6"/>
        <v>0.21428571428571427</v>
      </c>
      <c r="H19">
        <f t="shared" ca="1" si="7"/>
        <v>5</v>
      </c>
      <c r="I19">
        <f t="shared" ca="1" si="8"/>
        <v>2</v>
      </c>
      <c r="J19">
        <f t="shared" ca="1" si="9"/>
        <v>0</v>
      </c>
      <c r="K19">
        <f t="shared" ca="1" si="10"/>
        <v>1</v>
      </c>
      <c r="L19">
        <f t="shared" ca="1" si="11"/>
        <v>0</v>
      </c>
      <c r="M19">
        <f t="shared" ca="1" si="12"/>
        <v>0</v>
      </c>
      <c r="N19" t="str">
        <f t="shared" ca="1" si="13"/>
        <v>Medium</v>
      </c>
    </row>
    <row r="20" spans="1:14" x14ac:dyDescent="0.25">
      <c r="A20">
        <f t="shared" si="0"/>
        <v>19</v>
      </c>
      <c r="B20">
        <f t="shared" si="1"/>
        <v>1020</v>
      </c>
      <c r="C20" t="str">
        <f t="shared" ca="1" si="2"/>
        <v>V3</v>
      </c>
      <c r="D20">
        <f t="shared" ca="1" si="3"/>
        <v>60</v>
      </c>
      <c r="E20">
        <f t="shared" ca="1" si="4"/>
        <v>42</v>
      </c>
      <c r="F20">
        <f t="shared" ca="1" si="5"/>
        <v>7</v>
      </c>
      <c r="G20">
        <f t="shared" ca="1" si="6"/>
        <v>0.16666666666666666</v>
      </c>
      <c r="H20">
        <f t="shared" ca="1" si="7"/>
        <v>6</v>
      </c>
      <c r="I20">
        <f t="shared" ca="1" si="8"/>
        <v>3</v>
      </c>
      <c r="J20">
        <f t="shared" ca="1" si="9"/>
        <v>0</v>
      </c>
      <c r="K20">
        <f t="shared" ca="1" si="10"/>
        <v>0</v>
      </c>
      <c r="L20">
        <f t="shared" ca="1" si="11"/>
        <v>0</v>
      </c>
      <c r="M20">
        <f t="shared" ca="1" si="12"/>
        <v>0</v>
      </c>
      <c r="N20" t="str">
        <f t="shared" ca="1" si="13"/>
        <v>Low</v>
      </c>
    </row>
    <row r="21" spans="1:14" x14ac:dyDescent="0.25">
      <c r="A21">
        <f t="shared" si="0"/>
        <v>20</v>
      </c>
      <c r="B21">
        <f t="shared" si="1"/>
        <v>1021</v>
      </c>
      <c r="C21" t="str">
        <f t="shared" ca="1" si="2"/>
        <v>V3</v>
      </c>
      <c r="D21">
        <f t="shared" ca="1" si="3"/>
        <v>60</v>
      </c>
      <c r="E21">
        <f t="shared" ca="1" si="4"/>
        <v>49</v>
      </c>
      <c r="F21">
        <f t="shared" ca="1" si="5"/>
        <v>7</v>
      </c>
      <c r="G21">
        <f t="shared" ca="1" si="6"/>
        <v>0.14285714285714285</v>
      </c>
      <c r="H21">
        <f t="shared" ca="1" si="7"/>
        <v>3</v>
      </c>
      <c r="I21">
        <f t="shared" ca="1" si="8"/>
        <v>4</v>
      </c>
      <c r="J21">
        <f t="shared" ca="1" si="9"/>
        <v>0</v>
      </c>
      <c r="K21">
        <f t="shared" ca="1" si="10"/>
        <v>0</v>
      </c>
      <c r="L21">
        <f t="shared" ca="1" si="11"/>
        <v>0</v>
      </c>
      <c r="M21">
        <f t="shared" ca="1" si="12"/>
        <v>0</v>
      </c>
      <c r="N21" t="str">
        <f t="shared" ca="1" si="13"/>
        <v>Low</v>
      </c>
    </row>
    <row r="22" spans="1:14" x14ac:dyDescent="0.25">
      <c r="A22">
        <f t="shared" si="0"/>
        <v>21</v>
      </c>
      <c r="B22">
        <f t="shared" si="1"/>
        <v>1022</v>
      </c>
      <c r="C22" t="str">
        <f t="shared" ca="1" si="2"/>
        <v>V2</v>
      </c>
      <c r="D22">
        <f t="shared" ca="1" si="3"/>
        <v>45</v>
      </c>
      <c r="E22">
        <f t="shared" ca="1" si="4"/>
        <v>34</v>
      </c>
      <c r="F22">
        <f t="shared" ca="1" si="5"/>
        <v>7</v>
      </c>
      <c r="G22">
        <f t="shared" ca="1" si="6"/>
        <v>0.20588235294117646</v>
      </c>
      <c r="H22">
        <f t="shared" ca="1" si="7"/>
        <v>2</v>
      </c>
      <c r="I22">
        <f t="shared" ca="1" si="8"/>
        <v>3</v>
      </c>
      <c r="J22">
        <f t="shared" ca="1" si="9"/>
        <v>0</v>
      </c>
      <c r="K22">
        <f t="shared" ca="1" si="10"/>
        <v>0</v>
      </c>
      <c r="L22">
        <f t="shared" ca="1" si="11"/>
        <v>0</v>
      </c>
      <c r="M22">
        <f t="shared" ca="1" si="12"/>
        <v>0</v>
      </c>
      <c r="N22" t="str">
        <f t="shared" ca="1" si="13"/>
        <v>Medium</v>
      </c>
    </row>
    <row r="23" spans="1:14" x14ac:dyDescent="0.25">
      <c r="A23">
        <f t="shared" si="0"/>
        <v>22</v>
      </c>
      <c r="B23">
        <f t="shared" si="1"/>
        <v>1023</v>
      </c>
      <c r="C23" t="str">
        <f t="shared" ca="1" si="2"/>
        <v>V2</v>
      </c>
      <c r="D23">
        <f t="shared" ca="1" si="3"/>
        <v>45</v>
      </c>
      <c r="E23">
        <f t="shared" ca="1" si="4"/>
        <v>30</v>
      </c>
      <c r="F23">
        <f t="shared" ca="1" si="5"/>
        <v>4</v>
      </c>
      <c r="G23">
        <f t="shared" ca="1" si="6"/>
        <v>0.13333333333333333</v>
      </c>
      <c r="H23">
        <f t="shared" ca="1" si="7"/>
        <v>2</v>
      </c>
      <c r="I23">
        <f t="shared" ca="1" si="8"/>
        <v>1</v>
      </c>
      <c r="J23">
        <f t="shared" ca="1" si="9"/>
        <v>0</v>
      </c>
      <c r="K23">
        <f t="shared" ca="1" si="10"/>
        <v>0</v>
      </c>
      <c r="L23">
        <f t="shared" ca="1" si="11"/>
        <v>0</v>
      </c>
      <c r="M23">
        <f t="shared" ca="1" si="12"/>
        <v>1</v>
      </c>
      <c r="N23" t="str">
        <f t="shared" ca="1" si="13"/>
        <v>Low</v>
      </c>
    </row>
    <row r="24" spans="1:14" x14ac:dyDescent="0.25">
      <c r="A24">
        <f t="shared" si="0"/>
        <v>23</v>
      </c>
      <c r="B24">
        <f>1000 + ROW()</f>
        <v>1024</v>
      </c>
      <c r="C24" t="str">
        <f t="shared" ca="1" si="2"/>
        <v>V1</v>
      </c>
      <c r="D24">
        <f t="shared" ca="1" si="3"/>
        <v>45</v>
      </c>
      <c r="E24">
        <f t="shared" ca="1" si="4"/>
        <v>28</v>
      </c>
      <c r="F24">
        <f t="shared" ca="1" si="5"/>
        <v>5</v>
      </c>
      <c r="G24">
        <f t="shared" ca="1" si="6"/>
        <v>0.17857142857142858</v>
      </c>
      <c r="H24">
        <f t="shared" ca="1" si="7"/>
        <v>0</v>
      </c>
      <c r="I24">
        <f t="shared" ca="1" si="8"/>
        <v>2</v>
      </c>
      <c r="J24">
        <f t="shared" ca="1" si="9"/>
        <v>0</v>
      </c>
      <c r="K24">
        <f t="shared" ca="1" si="10"/>
        <v>0</v>
      </c>
      <c r="L24">
        <f t="shared" ca="1" si="11"/>
        <v>0</v>
      </c>
      <c r="M24">
        <f t="shared" ca="1" si="12"/>
        <v>1</v>
      </c>
      <c r="N24" t="str">
        <f t="shared" ca="1" si="13"/>
        <v>Low</v>
      </c>
    </row>
    <row r="25" spans="1:14" x14ac:dyDescent="0.25">
      <c r="A25">
        <f t="shared" si="0"/>
        <v>24</v>
      </c>
      <c r="B25">
        <f t="shared" si="1"/>
        <v>1025</v>
      </c>
      <c r="C25" t="str">
        <f t="shared" ca="1" si="2"/>
        <v>V3</v>
      </c>
      <c r="D25">
        <f t="shared" ca="1" si="3"/>
        <v>30</v>
      </c>
      <c r="E25">
        <f t="shared" ca="1" si="4"/>
        <v>28</v>
      </c>
      <c r="F25">
        <f t="shared" ca="1" si="5"/>
        <v>7</v>
      </c>
      <c r="G25">
        <f t="shared" ca="1" si="6"/>
        <v>0.25</v>
      </c>
      <c r="H25">
        <f t="shared" ca="1" si="7"/>
        <v>6</v>
      </c>
      <c r="I25">
        <f t="shared" ca="1" si="8"/>
        <v>4</v>
      </c>
      <c r="J25">
        <f t="shared" ca="1" si="9"/>
        <v>1</v>
      </c>
      <c r="K25">
        <f t="shared" ca="1" si="10"/>
        <v>1</v>
      </c>
      <c r="L25">
        <f t="shared" ca="1" si="11"/>
        <v>0</v>
      </c>
      <c r="M25">
        <f t="shared" ca="1" si="12"/>
        <v>0</v>
      </c>
      <c r="N25" t="str">
        <f t="shared" ca="1" si="13"/>
        <v>Medium</v>
      </c>
    </row>
    <row r="26" spans="1:14" x14ac:dyDescent="0.25">
      <c r="A26">
        <f t="shared" si="0"/>
        <v>25</v>
      </c>
      <c r="B26">
        <f t="shared" si="1"/>
        <v>1026</v>
      </c>
      <c r="C26" t="str">
        <f t="shared" ca="1" si="2"/>
        <v>V2</v>
      </c>
      <c r="D26">
        <f t="shared" ca="1" si="3"/>
        <v>45</v>
      </c>
      <c r="E26">
        <f t="shared" ca="1" si="4"/>
        <v>37</v>
      </c>
      <c r="F26">
        <f t="shared" ca="1" si="5"/>
        <v>7</v>
      </c>
      <c r="G26">
        <f t="shared" ca="1" si="6"/>
        <v>0.1891891891891892</v>
      </c>
      <c r="H26">
        <f t="shared" ca="1" si="7"/>
        <v>1</v>
      </c>
      <c r="I26">
        <f t="shared" ca="1" si="8"/>
        <v>3</v>
      </c>
      <c r="J26">
        <f t="shared" ca="1" si="9"/>
        <v>0</v>
      </c>
      <c r="K26">
        <f t="shared" ca="1" si="10"/>
        <v>0</v>
      </c>
      <c r="L26">
        <f t="shared" ca="1" si="11"/>
        <v>0</v>
      </c>
      <c r="M26">
        <f t="shared" ca="1" si="12"/>
        <v>1</v>
      </c>
      <c r="N26" t="str">
        <f t="shared" ca="1" si="13"/>
        <v>Low</v>
      </c>
    </row>
    <row r="27" spans="1:14" x14ac:dyDescent="0.25">
      <c r="A27">
        <f t="shared" si="0"/>
        <v>26</v>
      </c>
      <c r="B27">
        <f t="shared" si="1"/>
        <v>1027</v>
      </c>
      <c r="C27" t="str">
        <f t="shared" ca="1" si="2"/>
        <v>V1</v>
      </c>
      <c r="D27">
        <f t="shared" ca="1" si="3"/>
        <v>30</v>
      </c>
      <c r="E27">
        <f t="shared" ca="1" si="4"/>
        <v>17</v>
      </c>
      <c r="F27">
        <f t="shared" ca="1" si="5"/>
        <v>3</v>
      </c>
      <c r="G27">
        <f t="shared" ca="1" si="6"/>
        <v>0.17647058823529413</v>
      </c>
      <c r="H27">
        <f t="shared" ca="1" si="7"/>
        <v>5</v>
      </c>
      <c r="I27">
        <f t="shared" ca="1" si="8"/>
        <v>0</v>
      </c>
      <c r="J27">
        <f t="shared" ca="1" si="9"/>
        <v>0</v>
      </c>
      <c r="K27">
        <f t="shared" ca="1" si="10"/>
        <v>0</v>
      </c>
      <c r="L27">
        <f t="shared" ca="1" si="11"/>
        <v>0</v>
      </c>
      <c r="M27">
        <f t="shared" ca="1" si="12"/>
        <v>0</v>
      </c>
      <c r="N27" t="str">
        <f t="shared" ca="1" si="13"/>
        <v>Low</v>
      </c>
    </row>
    <row r="28" spans="1:14" x14ac:dyDescent="0.25">
      <c r="A28">
        <f t="shared" si="0"/>
        <v>27</v>
      </c>
      <c r="B28">
        <f t="shared" si="1"/>
        <v>1028</v>
      </c>
      <c r="C28" t="str">
        <f t="shared" ca="1" si="2"/>
        <v>V3</v>
      </c>
      <c r="D28">
        <f t="shared" ca="1" si="3"/>
        <v>45</v>
      </c>
      <c r="E28">
        <f t="shared" ca="1" si="4"/>
        <v>40</v>
      </c>
      <c r="F28">
        <f t="shared" ca="1" si="5"/>
        <v>6</v>
      </c>
      <c r="G28">
        <f t="shared" ca="1" si="6"/>
        <v>0.15</v>
      </c>
      <c r="H28">
        <f t="shared" ca="1" si="7"/>
        <v>3</v>
      </c>
      <c r="I28">
        <f t="shared" ca="1" si="8"/>
        <v>0</v>
      </c>
      <c r="J28">
        <f t="shared" ca="1" si="9"/>
        <v>0</v>
      </c>
      <c r="K28">
        <f t="shared" ca="1" si="10"/>
        <v>0</v>
      </c>
      <c r="L28">
        <f t="shared" ca="1" si="11"/>
        <v>0</v>
      </c>
      <c r="M28">
        <f t="shared" ca="1" si="12"/>
        <v>0</v>
      </c>
      <c r="N28" t="str">
        <f t="shared" ca="1" si="13"/>
        <v>Low</v>
      </c>
    </row>
    <row r="29" spans="1:14" x14ac:dyDescent="0.25">
      <c r="A29">
        <f t="shared" si="0"/>
        <v>28</v>
      </c>
      <c r="B29">
        <f t="shared" si="1"/>
        <v>1029</v>
      </c>
      <c r="C29" t="str">
        <f t="shared" ca="1" si="2"/>
        <v>V2</v>
      </c>
      <c r="D29">
        <f t="shared" ca="1" si="3"/>
        <v>60</v>
      </c>
      <c r="E29">
        <f t="shared" ca="1" si="4"/>
        <v>54</v>
      </c>
      <c r="F29">
        <f t="shared" ca="1" si="5"/>
        <v>1</v>
      </c>
      <c r="G29">
        <f t="shared" ca="1" si="6"/>
        <v>1.8518518518518517E-2</v>
      </c>
      <c r="H29">
        <f t="shared" ca="1" si="7"/>
        <v>6</v>
      </c>
      <c r="I29">
        <f t="shared" ca="1" si="8"/>
        <v>4</v>
      </c>
      <c r="J29">
        <f t="shared" ca="1" si="9"/>
        <v>0</v>
      </c>
      <c r="K29">
        <f t="shared" ca="1" si="10"/>
        <v>0</v>
      </c>
      <c r="L29">
        <f t="shared" ca="1" si="11"/>
        <v>0</v>
      </c>
      <c r="M29">
        <f t="shared" ca="1" si="12"/>
        <v>0</v>
      </c>
      <c r="N29" t="str">
        <f t="shared" ca="1" si="13"/>
        <v>Low</v>
      </c>
    </row>
    <row r="30" spans="1:14" x14ac:dyDescent="0.25">
      <c r="A30">
        <f t="shared" si="0"/>
        <v>29</v>
      </c>
      <c r="B30">
        <f t="shared" si="1"/>
        <v>1030</v>
      </c>
      <c r="C30" t="str">
        <f t="shared" ca="1" si="2"/>
        <v>V3</v>
      </c>
      <c r="D30">
        <f t="shared" ca="1" si="3"/>
        <v>60</v>
      </c>
      <c r="E30">
        <f t="shared" ca="1" si="4"/>
        <v>56</v>
      </c>
      <c r="F30">
        <f t="shared" ca="1" si="5"/>
        <v>5</v>
      </c>
      <c r="G30">
        <f t="shared" ca="1" si="6"/>
        <v>8.9285714285714288E-2</v>
      </c>
      <c r="H30">
        <f t="shared" ca="1" si="7"/>
        <v>4</v>
      </c>
      <c r="I30">
        <f t="shared" ca="1" si="8"/>
        <v>2</v>
      </c>
      <c r="J30">
        <f t="shared" ca="1" si="9"/>
        <v>0</v>
      </c>
      <c r="K30">
        <f t="shared" ca="1" si="10"/>
        <v>1</v>
      </c>
      <c r="L30">
        <f t="shared" ca="1" si="11"/>
        <v>0</v>
      </c>
      <c r="M30">
        <f t="shared" ca="1" si="12"/>
        <v>0</v>
      </c>
      <c r="N30" t="str">
        <f t="shared" ca="1" si="13"/>
        <v>Low</v>
      </c>
    </row>
    <row r="31" spans="1:14" x14ac:dyDescent="0.25">
      <c r="A31">
        <f t="shared" si="0"/>
        <v>30</v>
      </c>
      <c r="B31">
        <f t="shared" si="1"/>
        <v>1031</v>
      </c>
      <c r="C31" t="str">
        <f t="shared" ca="1" si="2"/>
        <v>V2</v>
      </c>
      <c r="D31">
        <f t="shared" ca="1" si="3"/>
        <v>30</v>
      </c>
      <c r="E31">
        <f t="shared" ca="1" si="4"/>
        <v>29</v>
      </c>
      <c r="F31">
        <f t="shared" ca="1" si="5"/>
        <v>5</v>
      </c>
      <c r="G31">
        <f t="shared" ca="1" si="6"/>
        <v>0.17241379310344829</v>
      </c>
      <c r="H31">
        <f t="shared" ca="1" si="7"/>
        <v>5</v>
      </c>
      <c r="I31">
        <f t="shared" ca="1" si="8"/>
        <v>2</v>
      </c>
      <c r="J31">
        <f t="shared" ca="1" si="9"/>
        <v>1</v>
      </c>
      <c r="K31">
        <f t="shared" ca="1" si="10"/>
        <v>1</v>
      </c>
      <c r="L31">
        <f t="shared" ca="1" si="11"/>
        <v>0</v>
      </c>
      <c r="M31">
        <f t="shared" ca="1" si="12"/>
        <v>0</v>
      </c>
      <c r="N31" t="str">
        <f t="shared" ca="1" si="13"/>
        <v>Low</v>
      </c>
    </row>
    <row r="32" spans="1:14" x14ac:dyDescent="0.25">
      <c r="A32">
        <f t="shared" si="0"/>
        <v>31</v>
      </c>
      <c r="B32">
        <f t="shared" si="1"/>
        <v>1032</v>
      </c>
      <c r="C32" t="str">
        <f t="shared" ca="1" si="2"/>
        <v>V3</v>
      </c>
      <c r="D32">
        <f t="shared" ca="1" si="3"/>
        <v>45</v>
      </c>
      <c r="E32">
        <f t="shared" ca="1" si="4"/>
        <v>23</v>
      </c>
      <c r="F32">
        <f t="shared" ca="1" si="5"/>
        <v>1</v>
      </c>
      <c r="G32">
        <f t="shared" ca="1" si="6"/>
        <v>4.3478260869565216E-2</v>
      </c>
      <c r="H32">
        <f t="shared" ca="1" si="7"/>
        <v>0</v>
      </c>
      <c r="I32">
        <f t="shared" ca="1" si="8"/>
        <v>0</v>
      </c>
      <c r="J32">
        <f t="shared" ca="1" si="9"/>
        <v>0</v>
      </c>
      <c r="K32">
        <f t="shared" ca="1" si="10"/>
        <v>0</v>
      </c>
      <c r="L32">
        <f t="shared" ca="1" si="11"/>
        <v>0</v>
      </c>
      <c r="M32">
        <f t="shared" ca="1" si="12"/>
        <v>1</v>
      </c>
      <c r="N32" t="str">
        <f t="shared" ca="1" si="13"/>
        <v>Low</v>
      </c>
    </row>
    <row r="33" spans="1:14" x14ac:dyDescent="0.25">
      <c r="A33">
        <f t="shared" si="0"/>
        <v>32</v>
      </c>
      <c r="B33">
        <f t="shared" si="1"/>
        <v>1033</v>
      </c>
      <c r="C33" t="str">
        <f t="shared" ca="1" si="2"/>
        <v>V1</v>
      </c>
      <c r="D33">
        <f t="shared" ca="1" si="3"/>
        <v>60</v>
      </c>
      <c r="E33">
        <f t="shared" ca="1" si="4"/>
        <v>30</v>
      </c>
      <c r="F33">
        <f t="shared" ca="1" si="5"/>
        <v>4</v>
      </c>
      <c r="G33">
        <f t="shared" ca="1" si="6"/>
        <v>0.13333333333333333</v>
      </c>
      <c r="H33">
        <f t="shared" ca="1" si="7"/>
        <v>2</v>
      </c>
      <c r="I33">
        <f t="shared" ca="1" si="8"/>
        <v>1</v>
      </c>
      <c r="J33">
        <f t="shared" ca="1" si="9"/>
        <v>0</v>
      </c>
      <c r="K33">
        <f t="shared" ca="1" si="10"/>
        <v>0</v>
      </c>
      <c r="L33">
        <f t="shared" ca="1" si="11"/>
        <v>0</v>
      </c>
      <c r="M33">
        <f t="shared" ca="1" si="12"/>
        <v>1</v>
      </c>
      <c r="N33" t="str">
        <f t="shared" ca="1" si="13"/>
        <v>Low</v>
      </c>
    </row>
    <row r="34" spans="1:14" x14ac:dyDescent="0.25">
      <c r="A34">
        <f t="shared" si="0"/>
        <v>33</v>
      </c>
      <c r="B34">
        <f t="shared" si="1"/>
        <v>1034</v>
      </c>
      <c r="C34" t="str">
        <f t="shared" ca="1" si="2"/>
        <v>V2</v>
      </c>
      <c r="D34">
        <f t="shared" ca="1" si="3"/>
        <v>45</v>
      </c>
      <c r="E34">
        <f t="shared" ca="1" si="4"/>
        <v>18</v>
      </c>
      <c r="F34">
        <f t="shared" ca="1" si="5"/>
        <v>7</v>
      </c>
      <c r="G34">
        <f t="shared" ca="1" si="6"/>
        <v>0.3888888888888889</v>
      </c>
      <c r="H34">
        <f t="shared" ca="1" si="7"/>
        <v>0</v>
      </c>
      <c r="I34">
        <f t="shared" ca="1" si="8"/>
        <v>1</v>
      </c>
      <c r="J34">
        <f t="shared" ca="1" si="9"/>
        <v>0</v>
      </c>
      <c r="K34">
        <f t="shared" ca="1" si="10"/>
        <v>0</v>
      </c>
      <c r="L34">
        <f t="shared" ca="1" si="11"/>
        <v>0</v>
      </c>
      <c r="M34">
        <f t="shared" ca="1" si="12"/>
        <v>1</v>
      </c>
      <c r="N34" t="str">
        <f t="shared" ca="1" si="13"/>
        <v>Medium</v>
      </c>
    </row>
    <row r="35" spans="1:14" x14ac:dyDescent="0.25">
      <c r="A35">
        <f t="shared" si="0"/>
        <v>34</v>
      </c>
      <c r="B35">
        <f t="shared" si="1"/>
        <v>1035</v>
      </c>
      <c r="C35" t="str">
        <f t="shared" ca="1" si="2"/>
        <v>V1</v>
      </c>
      <c r="D35">
        <f t="shared" ca="1" si="3"/>
        <v>45</v>
      </c>
      <c r="E35">
        <f t="shared" ca="1" si="4"/>
        <v>26</v>
      </c>
      <c r="F35">
        <f t="shared" ca="1" si="5"/>
        <v>7</v>
      </c>
      <c r="G35">
        <f t="shared" ca="1" si="6"/>
        <v>0.26923076923076922</v>
      </c>
      <c r="H35">
        <f t="shared" ca="1" si="7"/>
        <v>1</v>
      </c>
      <c r="I35">
        <f t="shared" ca="1" si="8"/>
        <v>0</v>
      </c>
      <c r="J35">
        <f t="shared" ca="1" si="9"/>
        <v>0</v>
      </c>
      <c r="K35">
        <f t="shared" ca="1" si="10"/>
        <v>0</v>
      </c>
      <c r="L35">
        <f t="shared" ca="1" si="11"/>
        <v>0</v>
      </c>
      <c r="M35">
        <f t="shared" ca="1" si="12"/>
        <v>1</v>
      </c>
      <c r="N35" t="str">
        <f t="shared" ca="1" si="13"/>
        <v>Medium</v>
      </c>
    </row>
    <row r="36" spans="1:14" x14ac:dyDescent="0.25">
      <c r="A36">
        <f t="shared" si="0"/>
        <v>35</v>
      </c>
      <c r="B36">
        <f t="shared" si="1"/>
        <v>1036</v>
      </c>
      <c r="C36" t="str">
        <f t="shared" ca="1" si="2"/>
        <v>V2</v>
      </c>
      <c r="D36">
        <f t="shared" ca="1" si="3"/>
        <v>30</v>
      </c>
      <c r="E36">
        <f t="shared" ca="1" si="4"/>
        <v>14</v>
      </c>
      <c r="F36">
        <f t="shared" ca="1" si="5"/>
        <v>2</v>
      </c>
      <c r="G36">
        <f t="shared" ca="1" si="6"/>
        <v>0.14285714285714285</v>
      </c>
      <c r="H36">
        <f t="shared" ca="1" si="7"/>
        <v>2</v>
      </c>
      <c r="I36">
        <f t="shared" ca="1" si="8"/>
        <v>0</v>
      </c>
      <c r="J36">
        <f t="shared" ca="1" si="9"/>
        <v>0</v>
      </c>
      <c r="K36">
        <f t="shared" ca="1" si="10"/>
        <v>0</v>
      </c>
      <c r="L36">
        <f t="shared" ca="1" si="11"/>
        <v>0</v>
      </c>
      <c r="M36">
        <f t="shared" ca="1" si="12"/>
        <v>1</v>
      </c>
      <c r="N36" t="str">
        <f t="shared" ca="1" si="13"/>
        <v>Low</v>
      </c>
    </row>
    <row r="37" spans="1:14" x14ac:dyDescent="0.25">
      <c r="A37">
        <f t="shared" si="0"/>
        <v>36</v>
      </c>
      <c r="B37">
        <f t="shared" si="1"/>
        <v>1037</v>
      </c>
      <c r="C37" t="str">
        <f t="shared" ca="1" si="2"/>
        <v>V1</v>
      </c>
      <c r="D37">
        <f t="shared" ca="1" si="3"/>
        <v>45</v>
      </c>
      <c r="E37">
        <f t="shared" ca="1" si="4"/>
        <v>36</v>
      </c>
      <c r="F37">
        <f t="shared" ca="1" si="5"/>
        <v>3</v>
      </c>
      <c r="G37">
        <f t="shared" ca="1" si="6"/>
        <v>8.3333333333333329E-2</v>
      </c>
      <c r="H37">
        <f t="shared" ca="1" si="7"/>
        <v>2</v>
      </c>
      <c r="I37">
        <f t="shared" ca="1" si="8"/>
        <v>0</v>
      </c>
      <c r="J37">
        <f t="shared" ca="1" si="9"/>
        <v>0</v>
      </c>
      <c r="K37">
        <f t="shared" ca="1" si="10"/>
        <v>0</v>
      </c>
      <c r="L37">
        <f t="shared" ca="1" si="11"/>
        <v>0</v>
      </c>
      <c r="M37">
        <f t="shared" ca="1" si="12"/>
        <v>1</v>
      </c>
      <c r="N37" t="str">
        <f t="shared" ca="1" si="13"/>
        <v>Low</v>
      </c>
    </row>
    <row r="38" spans="1:14" x14ac:dyDescent="0.25">
      <c r="A38">
        <f t="shared" si="0"/>
        <v>37</v>
      </c>
      <c r="B38">
        <f t="shared" si="1"/>
        <v>1038</v>
      </c>
      <c r="C38" t="str">
        <f t="shared" ca="1" si="2"/>
        <v>V3</v>
      </c>
      <c r="D38">
        <f t="shared" ca="1" si="3"/>
        <v>45</v>
      </c>
      <c r="E38">
        <f t="shared" ca="1" si="4"/>
        <v>41</v>
      </c>
      <c r="F38">
        <f t="shared" ca="1" si="5"/>
        <v>7</v>
      </c>
      <c r="G38">
        <f t="shared" ca="1" si="6"/>
        <v>0.17073170731707318</v>
      </c>
      <c r="H38">
        <f t="shared" ca="1" si="7"/>
        <v>0</v>
      </c>
      <c r="I38">
        <f t="shared" ca="1" si="8"/>
        <v>3</v>
      </c>
      <c r="J38">
        <f t="shared" ca="1" si="9"/>
        <v>1</v>
      </c>
      <c r="K38">
        <f t="shared" ca="1" si="10"/>
        <v>1</v>
      </c>
      <c r="L38">
        <f t="shared" ca="1" si="11"/>
        <v>0</v>
      </c>
      <c r="M38">
        <f t="shared" ca="1" si="12"/>
        <v>1</v>
      </c>
      <c r="N38" t="str">
        <f t="shared" ca="1" si="13"/>
        <v>Low</v>
      </c>
    </row>
    <row r="39" spans="1:14" x14ac:dyDescent="0.25">
      <c r="A39">
        <f t="shared" si="0"/>
        <v>38</v>
      </c>
      <c r="B39">
        <f t="shared" si="1"/>
        <v>1039</v>
      </c>
      <c r="C39" t="str">
        <f t="shared" ca="1" si="2"/>
        <v>V2</v>
      </c>
      <c r="D39">
        <f t="shared" ca="1" si="3"/>
        <v>30</v>
      </c>
      <c r="E39">
        <f t="shared" ca="1" si="4"/>
        <v>21</v>
      </c>
      <c r="F39">
        <f t="shared" ca="1" si="5"/>
        <v>1</v>
      </c>
      <c r="G39">
        <f t="shared" ca="1" si="6"/>
        <v>4.7619047619047616E-2</v>
      </c>
      <c r="H39">
        <f t="shared" ca="1" si="7"/>
        <v>3</v>
      </c>
      <c r="I39">
        <f t="shared" ca="1" si="8"/>
        <v>2</v>
      </c>
      <c r="J39">
        <f t="shared" ca="1" si="9"/>
        <v>0</v>
      </c>
      <c r="K39">
        <f t="shared" ca="1" si="10"/>
        <v>0</v>
      </c>
      <c r="L39">
        <f t="shared" ca="1" si="11"/>
        <v>0</v>
      </c>
      <c r="M39">
        <f t="shared" ca="1" si="12"/>
        <v>0</v>
      </c>
      <c r="N39" t="str">
        <f t="shared" ca="1" si="13"/>
        <v>Low</v>
      </c>
    </row>
    <row r="40" spans="1:14" x14ac:dyDescent="0.25">
      <c r="A40">
        <f t="shared" si="0"/>
        <v>39</v>
      </c>
      <c r="B40">
        <f t="shared" si="1"/>
        <v>1040</v>
      </c>
      <c r="C40" t="str">
        <f t="shared" ca="1" si="2"/>
        <v>V2</v>
      </c>
      <c r="D40">
        <f t="shared" ca="1" si="3"/>
        <v>45</v>
      </c>
      <c r="E40">
        <f t="shared" ca="1" si="4"/>
        <v>39</v>
      </c>
      <c r="F40">
        <f t="shared" ca="1" si="5"/>
        <v>1</v>
      </c>
      <c r="G40">
        <f t="shared" ca="1" si="6"/>
        <v>2.564102564102564E-2</v>
      </c>
      <c r="H40">
        <f t="shared" ca="1" si="7"/>
        <v>0</v>
      </c>
      <c r="I40">
        <f t="shared" ca="1" si="8"/>
        <v>1</v>
      </c>
      <c r="J40">
        <f t="shared" ca="1" si="9"/>
        <v>0</v>
      </c>
      <c r="K40">
        <f t="shared" ca="1" si="10"/>
        <v>0</v>
      </c>
      <c r="L40">
        <f t="shared" ca="1" si="11"/>
        <v>0</v>
      </c>
      <c r="M40">
        <f t="shared" ca="1" si="12"/>
        <v>1</v>
      </c>
      <c r="N40" t="str">
        <f t="shared" ca="1" si="13"/>
        <v>Low</v>
      </c>
    </row>
    <row r="41" spans="1:14" x14ac:dyDescent="0.25">
      <c r="A41">
        <f t="shared" si="0"/>
        <v>40</v>
      </c>
      <c r="B41">
        <f t="shared" si="1"/>
        <v>1041</v>
      </c>
      <c r="C41" t="str">
        <f t="shared" ca="1" si="2"/>
        <v>V3</v>
      </c>
      <c r="D41">
        <f t="shared" ca="1" si="3"/>
        <v>30</v>
      </c>
      <c r="E41">
        <f t="shared" ca="1" si="4"/>
        <v>29</v>
      </c>
      <c r="F41">
        <f t="shared" ca="1" si="5"/>
        <v>2</v>
      </c>
      <c r="G41">
        <f t="shared" ca="1" si="6"/>
        <v>6.8965517241379309E-2</v>
      </c>
      <c r="H41">
        <f t="shared" ca="1" si="7"/>
        <v>1</v>
      </c>
      <c r="I41">
        <f t="shared" ca="1" si="8"/>
        <v>2</v>
      </c>
      <c r="J41">
        <f t="shared" ca="1" si="9"/>
        <v>1</v>
      </c>
      <c r="K41">
        <f t="shared" ca="1" si="10"/>
        <v>1</v>
      </c>
      <c r="L41">
        <f t="shared" ca="1" si="11"/>
        <v>0</v>
      </c>
      <c r="M41">
        <f t="shared" ca="1" si="12"/>
        <v>1</v>
      </c>
      <c r="N41" t="str">
        <f t="shared" ca="1" si="13"/>
        <v>Low</v>
      </c>
    </row>
    <row r="42" spans="1:14" x14ac:dyDescent="0.25">
      <c r="A42">
        <f t="shared" si="0"/>
        <v>41</v>
      </c>
      <c r="B42">
        <f t="shared" si="1"/>
        <v>1042</v>
      </c>
      <c r="C42" t="str">
        <f t="shared" ca="1" si="2"/>
        <v>V2</v>
      </c>
      <c r="D42">
        <f t="shared" ca="1" si="3"/>
        <v>45</v>
      </c>
      <c r="E42">
        <f t="shared" ca="1" si="4"/>
        <v>43</v>
      </c>
      <c r="F42">
        <f t="shared" ca="1" si="5"/>
        <v>8</v>
      </c>
      <c r="G42">
        <f t="shared" ca="1" si="6"/>
        <v>0.18604651162790697</v>
      </c>
      <c r="H42">
        <f t="shared" ca="1" si="7"/>
        <v>0</v>
      </c>
      <c r="I42">
        <f t="shared" ca="1" si="8"/>
        <v>3</v>
      </c>
      <c r="J42">
        <f t="shared" ca="1" si="9"/>
        <v>0</v>
      </c>
      <c r="K42">
        <f t="shared" ca="1" si="10"/>
        <v>1</v>
      </c>
      <c r="L42">
        <f t="shared" ca="1" si="11"/>
        <v>0</v>
      </c>
      <c r="M42">
        <f t="shared" ca="1" si="12"/>
        <v>1</v>
      </c>
      <c r="N42" t="str">
        <f t="shared" ca="1" si="13"/>
        <v>Low</v>
      </c>
    </row>
    <row r="43" spans="1:14" x14ac:dyDescent="0.25">
      <c r="A43">
        <f t="shared" si="0"/>
        <v>42</v>
      </c>
      <c r="B43">
        <f t="shared" si="1"/>
        <v>1043</v>
      </c>
      <c r="C43" t="str">
        <f t="shared" ca="1" si="2"/>
        <v>V2</v>
      </c>
      <c r="D43">
        <f t="shared" ca="1" si="3"/>
        <v>30</v>
      </c>
      <c r="E43">
        <f t="shared" ca="1" si="4"/>
        <v>30</v>
      </c>
      <c r="F43">
        <f t="shared" ca="1" si="5"/>
        <v>6</v>
      </c>
      <c r="G43">
        <f t="shared" ca="1" si="6"/>
        <v>0.2</v>
      </c>
      <c r="H43">
        <f t="shared" ca="1" si="7"/>
        <v>1</v>
      </c>
      <c r="I43">
        <f t="shared" ca="1" si="8"/>
        <v>1</v>
      </c>
      <c r="J43">
        <f t="shared" ca="1" si="9"/>
        <v>0</v>
      </c>
      <c r="K43">
        <f t="shared" ca="1" si="10"/>
        <v>1</v>
      </c>
      <c r="L43">
        <f t="shared" ca="1" si="11"/>
        <v>0</v>
      </c>
      <c r="M43">
        <f t="shared" ca="1" si="12"/>
        <v>1</v>
      </c>
      <c r="N43" t="str">
        <f t="shared" ca="1" si="13"/>
        <v>Medium</v>
      </c>
    </row>
    <row r="44" spans="1:14" x14ac:dyDescent="0.25">
      <c r="A44">
        <f t="shared" si="0"/>
        <v>43</v>
      </c>
      <c r="B44">
        <f t="shared" si="1"/>
        <v>1044</v>
      </c>
      <c r="C44" t="str">
        <f t="shared" ca="1" si="2"/>
        <v>V1</v>
      </c>
      <c r="D44">
        <f t="shared" ca="1" si="3"/>
        <v>60</v>
      </c>
      <c r="E44">
        <f t="shared" ca="1" si="4"/>
        <v>56</v>
      </c>
      <c r="F44">
        <f t="shared" ca="1" si="5"/>
        <v>5</v>
      </c>
      <c r="G44">
        <f t="shared" ca="1" si="6"/>
        <v>8.9285714285714288E-2</v>
      </c>
      <c r="H44">
        <f t="shared" ca="1" si="7"/>
        <v>6</v>
      </c>
      <c r="I44">
        <f t="shared" ca="1" si="8"/>
        <v>2</v>
      </c>
      <c r="J44">
        <f t="shared" ca="1" si="9"/>
        <v>0</v>
      </c>
      <c r="K44">
        <f t="shared" ca="1" si="10"/>
        <v>1</v>
      </c>
      <c r="L44">
        <f t="shared" ca="1" si="11"/>
        <v>0</v>
      </c>
      <c r="M44">
        <f t="shared" ca="1" si="12"/>
        <v>0</v>
      </c>
      <c r="N44" t="str">
        <f t="shared" ca="1" si="13"/>
        <v>Low</v>
      </c>
    </row>
    <row r="45" spans="1:14" x14ac:dyDescent="0.25">
      <c r="A45">
        <f t="shared" si="0"/>
        <v>44</v>
      </c>
      <c r="B45">
        <f t="shared" si="1"/>
        <v>1045</v>
      </c>
      <c r="C45" t="str">
        <f t="shared" ca="1" si="2"/>
        <v>V3</v>
      </c>
      <c r="D45">
        <f t="shared" ca="1" si="3"/>
        <v>30</v>
      </c>
      <c r="E45">
        <f t="shared" ca="1" si="4"/>
        <v>14</v>
      </c>
      <c r="F45">
        <f t="shared" ca="1" si="5"/>
        <v>8</v>
      </c>
      <c r="G45">
        <f t="shared" ca="1" si="6"/>
        <v>0.5714285714285714</v>
      </c>
      <c r="H45">
        <f t="shared" ca="1" si="7"/>
        <v>6</v>
      </c>
      <c r="I45">
        <f t="shared" ca="1" si="8"/>
        <v>1</v>
      </c>
      <c r="J45">
        <f t="shared" ca="1" si="9"/>
        <v>0</v>
      </c>
      <c r="K45">
        <f t="shared" ca="1" si="10"/>
        <v>0</v>
      </c>
      <c r="L45">
        <f t="shared" ca="1" si="11"/>
        <v>0</v>
      </c>
      <c r="M45">
        <f t="shared" ca="1" si="12"/>
        <v>0</v>
      </c>
      <c r="N45" t="str">
        <f t="shared" ca="1" si="13"/>
        <v>High</v>
      </c>
    </row>
    <row r="46" spans="1:14" x14ac:dyDescent="0.25">
      <c r="A46">
        <f t="shared" si="0"/>
        <v>45</v>
      </c>
      <c r="B46">
        <f t="shared" si="1"/>
        <v>1046</v>
      </c>
      <c r="C46" t="str">
        <f t="shared" ca="1" si="2"/>
        <v>V2</v>
      </c>
      <c r="D46">
        <f t="shared" ca="1" si="3"/>
        <v>30</v>
      </c>
      <c r="E46">
        <f t="shared" ca="1" si="4"/>
        <v>25</v>
      </c>
      <c r="F46">
        <f t="shared" ca="1" si="5"/>
        <v>4</v>
      </c>
      <c r="G46">
        <f t="shared" ca="1" si="6"/>
        <v>0.16</v>
      </c>
      <c r="H46">
        <f t="shared" ca="1" si="7"/>
        <v>0</v>
      </c>
      <c r="I46">
        <f t="shared" ca="1" si="8"/>
        <v>4</v>
      </c>
      <c r="J46">
        <f t="shared" ca="1" si="9"/>
        <v>0</v>
      </c>
      <c r="K46">
        <f t="shared" ca="1" si="10"/>
        <v>0</v>
      </c>
      <c r="L46">
        <f t="shared" ca="1" si="11"/>
        <v>0</v>
      </c>
      <c r="M46">
        <f t="shared" ca="1" si="12"/>
        <v>1</v>
      </c>
      <c r="N46" t="str">
        <f t="shared" ca="1" si="13"/>
        <v>Low</v>
      </c>
    </row>
    <row r="47" spans="1:14" x14ac:dyDescent="0.25">
      <c r="A47">
        <f t="shared" si="0"/>
        <v>46</v>
      </c>
      <c r="B47">
        <f t="shared" si="1"/>
        <v>1047</v>
      </c>
      <c r="C47" t="str">
        <f t="shared" ca="1" si="2"/>
        <v>V2</v>
      </c>
      <c r="D47">
        <f t="shared" ca="1" si="3"/>
        <v>30</v>
      </c>
      <c r="E47">
        <f t="shared" ca="1" si="4"/>
        <v>15</v>
      </c>
      <c r="F47">
        <f t="shared" ca="1" si="5"/>
        <v>6</v>
      </c>
      <c r="G47">
        <f t="shared" ca="1" si="6"/>
        <v>0.4</v>
      </c>
      <c r="H47">
        <f t="shared" ca="1" si="7"/>
        <v>4</v>
      </c>
      <c r="I47">
        <f t="shared" ca="1" si="8"/>
        <v>1</v>
      </c>
      <c r="J47">
        <f t="shared" ca="1" si="9"/>
        <v>1</v>
      </c>
      <c r="K47">
        <f t="shared" ca="1" si="10"/>
        <v>0</v>
      </c>
      <c r="L47">
        <f t="shared" ca="1" si="11"/>
        <v>0</v>
      </c>
      <c r="M47">
        <f t="shared" ca="1" si="12"/>
        <v>1</v>
      </c>
      <c r="N47" t="str">
        <f t="shared" ca="1" si="13"/>
        <v>Medium</v>
      </c>
    </row>
    <row r="48" spans="1:14" x14ac:dyDescent="0.25">
      <c r="A48">
        <f t="shared" si="0"/>
        <v>47</v>
      </c>
      <c r="B48">
        <f t="shared" si="1"/>
        <v>1048</v>
      </c>
      <c r="C48" t="str">
        <f t="shared" ca="1" si="2"/>
        <v>V3</v>
      </c>
      <c r="D48">
        <f t="shared" ca="1" si="3"/>
        <v>45</v>
      </c>
      <c r="E48">
        <f t="shared" ca="1" si="4"/>
        <v>32</v>
      </c>
      <c r="F48">
        <f t="shared" ca="1" si="5"/>
        <v>6</v>
      </c>
      <c r="G48">
        <f t="shared" ca="1" si="6"/>
        <v>0.1875</v>
      </c>
      <c r="H48">
        <f t="shared" ca="1" si="7"/>
        <v>0</v>
      </c>
      <c r="I48">
        <f t="shared" ca="1" si="8"/>
        <v>2</v>
      </c>
      <c r="J48">
        <f t="shared" ca="1" si="9"/>
        <v>1</v>
      </c>
      <c r="K48">
        <f t="shared" ca="1" si="10"/>
        <v>0</v>
      </c>
      <c r="L48">
        <f t="shared" ca="1" si="11"/>
        <v>0</v>
      </c>
      <c r="M48">
        <f t="shared" ca="1" si="12"/>
        <v>1</v>
      </c>
      <c r="N48" t="str">
        <f t="shared" ca="1" si="13"/>
        <v>Low</v>
      </c>
    </row>
    <row r="49" spans="1:14" x14ac:dyDescent="0.25">
      <c r="A49">
        <f t="shared" si="0"/>
        <v>48</v>
      </c>
      <c r="B49">
        <f t="shared" si="1"/>
        <v>1049</v>
      </c>
      <c r="C49" t="str">
        <f t="shared" ca="1" si="2"/>
        <v>V2</v>
      </c>
      <c r="D49">
        <f t="shared" ca="1" si="3"/>
        <v>45</v>
      </c>
      <c r="E49">
        <f t="shared" ca="1" si="4"/>
        <v>24</v>
      </c>
      <c r="F49">
        <f t="shared" ca="1" si="5"/>
        <v>5</v>
      </c>
      <c r="G49">
        <f t="shared" ca="1" si="6"/>
        <v>0.20833333333333334</v>
      </c>
      <c r="H49">
        <f t="shared" ca="1" si="7"/>
        <v>5</v>
      </c>
      <c r="I49">
        <f t="shared" ca="1" si="8"/>
        <v>4</v>
      </c>
      <c r="J49">
        <f t="shared" ca="1" si="9"/>
        <v>0</v>
      </c>
      <c r="K49">
        <f t="shared" ca="1" si="10"/>
        <v>0</v>
      </c>
      <c r="L49">
        <f t="shared" ca="1" si="11"/>
        <v>0</v>
      </c>
      <c r="M49">
        <f t="shared" ca="1" si="12"/>
        <v>1</v>
      </c>
      <c r="N49" t="str">
        <f t="shared" ca="1" si="13"/>
        <v>Medium</v>
      </c>
    </row>
    <row r="50" spans="1:14" x14ac:dyDescent="0.25">
      <c r="A50">
        <f t="shared" si="0"/>
        <v>49</v>
      </c>
      <c r="B50">
        <f t="shared" si="1"/>
        <v>1050</v>
      </c>
      <c r="C50" t="str">
        <f t="shared" ca="1" si="2"/>
        <v>V3</v>
      </c>
      <c r="D50">
        <f t="shared" ca="1" si="3"/>
        <v>30</v>
      </c>
      <c r="E50">
        <f t="shared" ca="1" si="4"/>
        <v>23</v>
      </c>
      <c r="F50">
        <f t="shared" ca="1" si="5"/>
        <v>2</v>
      </c>
      <c r="G50">
        <f t="shared" ca="1" si="6"/>
        <v>8.6956521739130432E-2</v>
      </c>
      <c r="H50">
        <f t="shared" ca="1" si="7"/>
        <v>5</v>
      </c>
      <c r="I50">
        <f t="shared" ca="1" si="8"/>
        <v>2</v>
      </c>
      <c r="J50">
        <f t="shared" ca="1" si="9"/>
        <v>0</v>
      </c>
      <c r="K50">
        <f t="shared" ca="1" si="10"/>
        <v>0</v>
      </c>
      <c r="L50">
        <f t="shared" ca="1" si="11"/>
        <v>0</v>
      </c>
      <c r="M50">
        <f t="shared" ca="1" si="12"/>
        <v>0</v>
      </c>
      <c r="N50" t="str">
        <f t="shared" ca="1" si="13"/>
        <v>Low</v>
      </c>
    </row>
    <row r="51" spans="1:14" x14ac:dyDescent="0.25">
      <c r="A51">
        <f t="shared" si="0"/>
        <v>50</v>
      </c>
      <c r="B51">
        <f t="shared" si="1"/>
        <v>1051</v>
      </c>
      <c r="C51" t="str">
        <f t="shared" ca="1" si="2"/>
        <v>V1</v>
      </c>
      <c r="D51">
        <f t="shared" ca="1" si="3"/>
        <v>60</v>
      </c>
      <c r="E51">
        <f t="shared" ca="1" si="4"/>
        <v>40</v>
      </c>
      <c r="F51">
        <f t="shared" ca="1" si="5"/>
        <v>2</v>
      </c>
      <c r="G51">
        <f t="shared" ca="1" si="6"/>
        <v>0.05</v>
      </c>
      <c r="H51">
        <f t="shared" ca="1" si="7"/>
        <v>3</v>
      </c>
      <c r="I51">
        <f t="shared" ca="1" si="8"/>
        <v>4</v>
      </c>
      <c r="J51">
        <f t="shared" ca="1" si="9"/>
        <v>0</v>
      </c>
      <c r="K51">
        <f t="shared" ca="1" si="10"/>
        <v>0</v>
      </c>
      <c r="L51">
        <f t="shared" ca="1" si="11"/>
        <v>0</v>
      </c>
      <c r="M51">
        <f t="shared" ca="1" si="12"/>
        <v>0</v>
      </c>
      <c r="N51" t="str">
        <f t="shared" ca="1" si="13"/>
        <v>Low</v>
      </c>
    </row>
    <row r="52" spans="1:14" x14ac:dyDescent="0.25">
      <c r="A52">
        <f t="shared" si="0"/>
        <v>51</v>
      </c>
      <c r="B52">
        <f t="shared" si="1"/>
        <v>1052</v>
      </c>
      <c r="C52" t="str">
        <f t="shared" ca="1" si="2"/>
        <v>V3</v>
      </c>
      <c r="D52">
        <f t="shared" ca="1" si="3"/>
        <v>60</v>
      </c>
      <c r="E52">
        <f t="shared" ca="1" si="4"/>
        <v>33</v>
      </c>
      <c r="F52">
        <f t="shared" ca="1" si="5"/>
        <v>3</v>
      </c>
      <c r="G52">
        <f t="shared" ca="1" si="6"/>
        <v>9.0909090909090912E-2</v>
      </c>
      <c r="H52">
        <f t="shared" ca="1" si="7"/>
        <v>5</v>
      </c>
      <c r="I52">
        <f t="shared" ca="1" si="8"/>
        <v>2</v>
      </c>
      <c r="J52">
        <f t="shared" ca="1" si="9"/>
        <v>0</v>
      </c>
      <c r="K52">
        <f t="shared" ca="1" si="10"/>
        <v>0</v>
      </c>
      <c r="L52">
        <f t="shared" ca="1" si="11"/>
        <v>0</v>
      </c>
      <c r="M52">
        <f t="shared" ca="1" si="12"/>
        <v>0</v>
      </c>
      <c r="N52" t="str">
        <f t="shared" ca="1" si="13"/>
        <v>Low</v>
      </c>
    </row>
    <row r="53" spans="1:14" x14ac:dyDescent="0.25">
      <c r="A53">
        <f t="shared" si="0"/>
        <v>52</v>
      </c>
      <c r="B53">
        <f t="shared" si="1"/>
        <v>1053</v>
      </c>
      <c r="C53" t="str">
        <f t="shared" ca="1" si="2"/>
        <v>V2</v>
      </c>
      <c r="D53">
        <f t="shared" ca="1" si="3"/>
        <v>30</v>
      </c>
      <c r="E53">
        <f t="shared" ca="1" si="4"/>
        <v>20</v>
      </c>
      <c r="F53">
        <f t="shared" ca="1" si="5"/>
        <v>3</v>
      </c>
      <c r="G53">
        <f t="shared" ca="1" si="6"/>
        <v>0.15</v>
      </c>
      <c r="H53">
        <f t="shared" ca="1" si="7"/>
        <v>2</v>
      </c>
      <c r="I53">
        <f t="shared" ca="1" si="8"/>
        <v>3</v>
      </c>
      <c r="J53">
        <f t="shared" ca="1" si="9"/>
        <v>1</v>
      </c>
      <c r="K53">
        <f t="shared" ca="1" si="10"/>
        <v>0</v>
      </c>
      <c r="L53">
        <f t="shared" ca="1" si="11"/>
        <v>0</v>
      </c>
      <c r="M53">
        <f t="shared" ca="1" si="12"/>
        <v>1</v>
      </c>
      <c r="N53" t="str">
        <f t="shared" ca="1" si="13"/>
        <v>Low</v>
      </c>
    </row>
    <row r="54" spans="1:14" x14ac:dyDescent="0.25">
      <c r="A54">
        <f t="shared" si="0"/>
        <v>53</v>
      </c>
      <c r="B54">
        <f t="shared" si="1"/>
        <v>1054</v>
      </c>
      <c r="C54" t="str">
        <f t="shared" ca="1" si="2"/>
        <v>V3</v>
      </c>
      <c r="D54">
        <f t="shared" ca="1" si="3"/>
        <v>30</v>
      </c>
      <c r="E54">
        <f t="shared" ca="1" si="4"/>
        <v>24</v>
      </c>
      <c r="F54">
        <f t="shared" ca="1" si="5"/>
        <v>5</v>
      </c>
      <c r="G54">
        <f t="shared" ca="1" si="6"/>
        <v>0.20833333333333334</v>
      </c>
      <c r="H54">
        <f t="shared" ca="1" si="7"/>
        <v>3</v>
      </c>
      <c r="I54">
        <f t="shared" ca="1" si="8"/>
        <v>1</v>
      </c>
      <c r="J54">
        <f t="shared" ca="1" si="9"/>
        <v>1</v>
      </c>
      <c r="K54">
        <f t="shared" ca="1" si="10"/>
        <v>0</v>
      </c>
      <c r="L54">
        <f t="shared" ca="1" si="11"/>
        <v>0</v>
      </c>
      <c r="M54">
        <f t="shared" ca="1" si="12"/>
        <v>0</v>
      </c>
      <c r="N54" t="str">
        <f t="shared" ca="1" si="13"/>
        <v>Medium</v>
      </c>
    </row>
    <row r="55" spans="1:14" x14ac:dyDescent="0.25">
      <c r="A55">
        <f t="shared" si="0"/>
        <v>54</v>
      </c>
      <c r="B55">
        <f t="shared" si="1"/>
        <v>1055</v>
      </c>
      <c r="C55" t="str">
        <f t="shared" ca="1" si="2"/>
        <v>V3</v>
      </c>
      <c r="D55">
        <f t="shared" ca="1" si="3"/>
        <v>60</v>
      </c>
      <c r="E55">
        <f t="shared" ca="1" si="4"/>
        <v>35</v>
      </c>
      <c r="F55">
        <f t="shared" ca="1" si="5"/>
        <v>2</v>
      </c>
      <c r="G55">
        <f t="shared" ca="1" si="6"/>
        <v>5.7142857142857141E-2</v>
      </c>
      <c r="H55">
        <f t="shared" ca="1" si="7"/>
        <v>1</v>
      </c>
      <c r="I55">
        <f t="shared" ca="1" si="8"/>
        <v>1</v>
      </c>
      <c r="J55">
        <f t="shared" ca="1" si="9"/>
        <v>1</v>
      </c>
      <c r="K55">
        <f t="shared" ca="1" si="10"/>
        <v>0</v>
      </c>
      <c r="L55">
        <f t="shared" ca="1" si="11"/>
        <v>0</v>
      </c>
      <c r="M55">
        <f t="shared" ca="1" si="12"/>
        <v>1</v>
      </c>
      <c r="N55" t="str">
        <f t="shared" ca="1" si="13"/>
        <v>Low</v>
      </c>
    </row>
    <row r="56" spans="1:14" x14ac:dyDescent="0.25">
      <c r="A56">
        <f t="shared" si="0"/>
        <v>55</v>
      </c>
      <c r="B56">
        <f t="shared" si="1"/>
        <v>1056</v>
      </c>
      <c r="C56" t="str">
        <f t="shared" ca="1" si="2"/>
        <v>V3</v>
      </c>
      <c r="D56">
        <f t="shared" ca="1" si="3"/>
        <v>60</v>
      </c>
      <c r="E56">
        <f t="shared" ca="1" si="4"/>
        <v>42</v>
      </c>
      <c r="F56">
        <f t="shared" ca="1" si="5"/>
        <v>3</v>
      </c>
      <c r="G56">
        <f t="shared" ca="1" si="6"/>
        <v>7.1428571428571425E-2</v>
      </c>
      <c r="H56">
        <f t="shared" ca="1" si="7"/>
        <v>6</v>
      </c>
      <c r="I56">
        <f t="shared" ca="1" si="8"/>
        <v>1</v>
      </c>
      <c r="J56">
        <f t="shared" ca="1" si="9"/>
        <v>1</v>
      </c>
      <c r="K56">
        <f t="shared" ca="1" si="10"/>
        <v>0</v>
      </c>
      <c r="L56">
        <f t="shared" ca="1" si="11"/>
        <v>0</v>
      </c>
      <c r="M56">
        <f t="shared" ca="1" si="12"/>
        <v>0</v>
      </c>
      <c r="N56" t="str">
        <f t="shared" ca="1" si="13"/>
        <v>Low</v>
      </c>
    </row>
    <row r="57" spans="1:14" x14ac:dyDescent="0.25">
      <c r="A57">
        <f t="shared" si="0"/>
        <v>56</v>
      </c>
      <c r="B57">
        <f t="shared" si="1"/>
        <v>1057</v>
      </c>
      <c r="C57" t="str">
        <f t="shared" ca="1" si="2"/>
        <v>V2</v>
      </c>
      <c r="D57">
        <f t="shared" ca="1" si="3"/>
        <v>60</v>
      </c>
      <c r="E57">
        <f t="shared" ca="1" si="4"/>
        <v>27</v>
      </c>
      <c r="F57">
        <f t="shared" ca="1" si="5"/>
        <v>4</v>
      </c>
      <c r="G57">
        <f t="shared" ca="1" si="6"/>
        <v>0.14814814814814814</v>
      </c>
      <c r="H57">
        <f t="shared" ca="1" si="7"/>
        <v>3</v>
      </c>
      <c r="I57">
        <f t="shared" ca="1" si="8"/>
        <v>1</v>
      </c>
      <c r="J57">
        <f t="shared" ca="1" si="9"/>
        <v>1</v>
      </c>
      <c r="K57">
        <f t="shared" ca="1" si="10"/>
        <v>0</v>
      </c>
      <c r="L57">
        <f t="shared" ca="1" si="11"/>
        <v>0</v>
      </c>
      <c r="M57">
        <f t="shared" ca="1" si="12"/>
        <v>0</v>
      </c>
      <c r="N57" t="str">
        <f t="shared" ca="1" si="13"/>
        <v>Low</v>
      </c>
    </row>
    <row r="58" spans="1:14" x14ac:dyDescent="0.25">
      <c r="A58">
        <f t="shared" si="0"/>
        <v>57</v>
      </c>
      <c r="B58">
        <f t="shared" si="1"/>
        <v>1058</v>
      </c>
      <c r="C58" t="str">
        <f t="shared" ca="1" si="2"/>
        <v>V3</v>
      </c>
      <c r="D58">
        <f t="shared" ca="1" si="3"/>
        <v>30</v>
      </c>
      <c r="E58">
        <f t="shared" ca="1" si="4"/>
        <v>19</v>
      </c>
      <c r="F58">
        <f t="shared" ca="1" si="5"/>
        <v>7</v>
      </c>
      <c r="G58">
        <f t="shared" ca="1" si="6"/>
        <v>0.36842105263157893</v>
      </c>
      <c r="H58">
        <f t="shared" ca="1" si="7"/>
        <v>0</v>
      </c>
      <c r="I58">
        <f t="shared" ca="1" si="8"/>
        <v>2</v>
      </c>
      <c r="J58">
        <f t="shared" ca="1" si="9"/>
        <v>1</v>
      </c>
      <c r="K58">
        <f t="shared" ca="1" si="10"/>
        <v>0</v>
      </c>
      <c r="L58">
        <f t="shared" ca="1" si="11"/>
        <v>1</v>
      </c>
      <c r="M58">
        <f t="shared" ca="1" si="12"/>
        <v>1</v>
      </c>
      <c r="N58" t="str">
        <f t="shared" ca="1" si="13"/>
        <v>Medium</v>
      </c>
    </row>
    <row r="59" spans="1:14" x14ac:dyDescent="0.25">
      <c r="A59">
        <f t="shared" si="0"/>
        <v>58</v>
      </c>
      <c r="B59">
        <f t="shared" si="1"/>
        <v>1059</v>
      </c>
      <c r="C59" t="str">
        <f t="shared" ca="1" si="2"/>
        <v>V3</v>
      </c>
      <c r="D59">
        <f t="shared" ca="1" si="3"/>
        <v>30</v>
      </c>
      <c r="E59">
        <f t="shared" ca="1" si="4"/>
        <v>22</v>
      </c>
      <c r="F59">
        <f t="shared" ca="1" si="5"/>
        <v>8</v>
      </c>
      <c r="G59">
        <f t="shared" ca="1" si="6"/>
        <v>0.36363636363636365</v>
      </c>
      <c r="H59">
        <f t="shared" ca="1" si="7"/>
        <v>5</v>
      </c>
      <c r="I59">
        <f t="shared" ca="1" si="8"/>
        <v>0</v>
      </c>
      <c r="J59">
        <f t="shared" ca="1" si="9"/>
        <v>0</v>
      </c>
      <c r="K59">
        <f t="shared" ca="1" si="10"/>
        <v>0</v>
      </c>
      <c r="L59">
        <f t="shared" ca="1" si="11"/>
        <v>0</v>
      </c>
      <c r="M59">
        <f t="shared" ca="1" si="12"/>
        <v>0</v>
      </c>
      <c r="N59" t="str">
        <f t="shared" ca="1" si="13"/>
        <v>Medium</v>
      </c>
    </row>
    <row r="60" spans="1:14" x14ac:dyDescent="0.25">
      <c r="A60">
        <f t="shared" si="0"/>
        <v>59</v>
      </c>
      <c r="B60">
        <f t="shared" si="1"/>
        <v>1060</v>
      </c>
      <c r="C60" t="str">
        <f t="shared" ca="1" si="2"/>
        <v>V2</v>
      </c>
      <c r="D60">
        <f t="shared" ca="1" si="3"/>
        <v>30</v>
      </c>
      <c r="E60">
        <f t="shared" ca="1" si="4"/>
        <v>21</v>
      </c>
      <c r="F60">
        <f t="shared" ca="1" si="5"/>
        <v>5</v>
      </c>
      <c r="G60">
        <f t="shared" ca="1" si="6"/>
        <v>0.23809523809523808</v>
      </c>
      <c r="H60">
        <f t="shared" ca="1" si="7"/>
        <v>5</v>
      </c>
      <c r="I60">
        <f t="shared" ca="1" si="8"/>
        <v>2</v>
      </c>
      <c r="J60">
        <f t="shared" ca="1" si="9"/>
        <v>1</v>
      </c>
      <c r="K60">
        <f t="shared" ca="1" si="10"/>
        <v>0</v>
      </c>
      <c r="L60">
        <f t="shared" ca="1" si="11"/>
        <v>0</v>
      </c>
      <c r="M60">
        <f t="shared" ca="1" si="12"/>
        <v>0</v>
      </c>
      <c r="N60" t="str">
        <f t="shared" ca="1" si="13"/>
        <v>Medium</v>
      </c>
    </row>
    <row r="61" spans="1:14" x14ac:dyDescent="0.25">
      <c r="A61">
        <f t="shared" si="0"/>
        <v>60</v>
      </c>
      <c r="B61">
        <f t="shared" si="1"/>
        <v>1061</v>
      </c>
      <c r="C61" t="str">
        <f t="shared" ca="1" si="2"/>
        <v>V3</v>
      </c>
      <c r="D61">
        <f t="shared" ca="1" si="3"/>
        <v>30</v>
      </c>
      <c r="E61">
        <f t="shared" ca="1" si="4"/>
        <v>12</v>
      </c>
      <c r="F61">
        <f t="shared" ca="1" si="5"/>
        <v>8</v>
      </c>
      <c r="G61">
        <f t="shared" ca="1" si="6"/>
        <v>0.66666666666666663</v>
      </c>
      <c r="H61">
        <f t="shared" ca="1" si="7"/>
        <v>0</v>
      </c>
      <c r="I61">
        <f t="shared" ca="1" si="8"/>
        <v>2</v>
      </c>
      <c r="J61">
        <f t="shared" ca="1" si="9"/>
        <v>0</v>
      </c>
      <c r="K61">
        <f t="shared" ca="1" si="10"/>
        <v>0</v>
      </c>
      <c r="L61">
        <f t="shared" ca="1" si="11"/>
        <v>1</v>
      </c>
      <c r="M61">
        <f t="shared" ca="1" si="12"/>
        <v>1</v>
      </c>
      <c r="N61" t="str">
        <f t="shared" ca="1" si="13"/>
        <v>High</v>
      </c>
    </row>
    <row r="62" spans="1:14" x14ac:dyDescent="0.25">
      <c r="A62">
        <f t="shared" si="0"/>
        <v>61</v>
      </c>
      <c r="B62">
        <f t="shared" si="1"/>
        <v>1062</v>
      </c>
      <c r="C62" t="str">
        <f t="shared" ca="1" si="2"/>
        <v>V1</v>
      </c>
      <c r="D62">
        <f t="shared" ca="1" si="3"/>
        <v>45</v>
      </c>
      <c r="E62">
        <f t="shared" ca="1" si="4"/>
        <v>45</v>
      </c>
      <c r="F62">
        <f t="shared" ca="1" si="5"/>
        <v>3</v>
      </c>
      <c r="G62">
        <f t="shared" ca="1" si="6"/>
        <v>6.6666666666666666E-2</v>
      </c>
      <c r="H62">
        <f t="shared" ca="1" si="7"/>
        <v>5</v>
      </c>
      <c r="I62">
        <f t="shared" ca="1" si="8"/>
        <v>2</v>
      </c>
      <c r="J62">
        <f t="shared" ca="1" si="9"/>
        <v>0</v>
      </c>
      <c r="K62">
        <f t="shared" ca="1" si="10"/>
        <v>1</v>
      </c>
      <c r="L62">
        <f t="shared" ca="1" si="11"/>
        <v>0</v>
      </c>
      <c r="M62">
        <f t="shared" ca="1" si="12"/>
        <v>0</v>
      </c>
      <c r="N62" t="str">
        <f t="shared" ca="1" si="13"/>
        <v>Low</v>
      </c>
    </row>
    <row r="63" spans="1:14" x14ac:dyDescent="0.25">
      <c r="A63">
        <f t="shared" si="0"/>
        <v>62</v>
      </c>
      <c r="B63">
        <f t="shared" si="1"/>
        <v>1063</v>
      </c>
      <c r="C63" t="str">
        <f t="shared" ca="1" si="2"/>
        <v>V3</v>
      </c>
      <c r="D63">
        <f t="shared" ca="1" si="3"/>
        <v>60</v>
      </c>
      <c r="E63">
        <f t="shared" ca="1" si="4"/>
        <v>50</v>
      </c>
      <c r="F63">
        <f t="shared" ca="1" si="5"/>
        <v>3</v>
      </c>
      <c r="G63">
        <f t="shared" ca="1" si="6"/>
        <v>0.06</v>
      </c>
      <c r="H63">
        <f t="shared" ca="1" si="7"/>
        <v>3</v>
      </c>
      <c r="I63">
        <f t="shared" ca="1" si="8"/>
        <v>1</v>
      </c>
      <c r="J63">
        <f t="shared" ca="1" si="9"/>
        <v>1</v>
      </c>
      <c r="K63">
        <f t="shared" ca="1" si="10"/>
        <v>0</v>
      </c>
      <c r="L63">
        <f t="shared" ca="1" si="11"/>
        <v>0</v>
      </c>
      <c r="M63">
        <f t="shared" ca="1" si="12"/>
        <v>1</v>
      </c>
      <c r="N63" t="str">
        <f t="shared" ca="1" si="13"/>
        <v>Low</v>
      </c>
    </row>
    <row r="64" spans="1:14" x14ac:dyDescent="0.25">
      <c r="A64">
        <f t="shared" si="0"/>
        <v>63</v>
      </c>
      <c r="B64">
        <f t="shared" si="1"/>
        <v>1064</v>
      </c>
      <c r="C64" t="str">
        <f t="shared" ca="1" si="2"/>
        <v>V1</v>
      </c>
      <c r="D64">
        <f t="shared" ca="1" si="3"/>
        <v>30</v>
      </c>
      <c r="E64">
        <f t="shared" ca="1" si="4"/>
        <v>24</v>
      </c>
      <c r="F64">
        <f t="shared" ca="1" si="5"/>
        <v>7</v>
      </c>
      <c r="G64">
        <f t="shared" ca="1" si="6"/>
        <v>0.29166666666666669</v>
      </c>
      <c r="H64">
        <f t="shared" ca="1" si="7"/>
        <v>4</v>
      </c>
      <c r="I64">
        <f t="shared" ca="1" si="8"/>
        <v>4</v>
      </c>
      <c r="J64">
        <f t="shared" ca="1" si="9"/>
        <v>1</v>
      </c>
      <c r="K64">
        <f t="shared" ca="1" si="10"/>
        <v>0</v>
      </c>
      <c r="L64">
        <f t="shared" ca="1" si="11"/>
        <v>0</v>
      </c>
      <c r="M64">
        <f t="shared" ca="1" si="12"/>
        <v>1</v>
      </c>
      <c r="N64" t="str">
        <f t="shared" ca="1" si="13"/>
        <v>Medium</v>
      </c>
    </row>
    <row r="65" spans="1:14" x14ac:dyDescent="0.25">
      <c r="A65">
        <f t="shared" si="0"/>
        <v>64</v>
      </c>
      <c r="B65">
        <f t="shared" si="1"/>
        <v>1065</v>
      </c>
      <c r="C65" t="str">
        <f t="shared" ca="1" si="2"/>
        <v>V3</v>
      </c>
      <c r="D65">
        <f t="shared" ca="1" si="3"/>
        <v>60</v>
      </c>
      <c r="E65">
        <f t="shared" ca="1" si="4"/>
        <v>48</v>
      </c>
      <c r="F65">
        <f t="shared" ca="1" si="5"/>
        <v>5</v>
      </c>
      <c r="G65">
        <f t="shared" ca="1" si="6"/>
        <v>0.10416666666666667</v>
      </c>
      <c r="H65">
        <f t="shared" ca="1" si="7"/>
        <v>1</v>
      </c>
      <c r="I65">
        <f t="shared" ca="1" si="8"/>
        <v>0</v>
      </c>
      <c r="J65">
        <f t="shared" ca="1" si="9"/>
        <v>0</v>
      </c>
      <c r="K65">
        <f t="shared" ca="1" si="10"/>
        <v>0</v>
      </c>
      <c r="L65">
        <f t="shared" ca="1" si="11"/>
        <v>0</v>
      </c>
      <c r="M65">
        <f t="shared" ca="1" si="12"/>
        <v>1</v>
      </c>
      <c r="N65" t="str">
        <f t="shared" ca="1" si="13"/>
        <v>Low</v>
      </c>
    </row>
    <row r="66" spans="1:14" x14ac:dyDescent="0.25">
      <c r="A66">
        <f t="shared" si="0"/>
        <v>65</v>
      </c>
      <c r="B66">
        <f t="shared" si="1"/>
        <v>1066</v>
      </c>
      <c r="C66" t="str">
        <f t="shared" ca="1" si="2"/>
        <v>V3</v>
      </c>
      <c r="D66">
        <f t="shared" ca="1" si="3"/>
        <v>45</v>
      </c>
      <c r="E66">
        <f t="shared" ca="1" si="4"/>
        <v>22</v>
      </c>
      <c r="F66">
        <f t="shared" ca="1" si="5"/>
        <v>4</v>
      </c>
      <c r="G66">
        <f t="shared" ca="1" si="6"/>
        <v>0.18181818181818182</v>
      </c>
      <c r="H66">
        <f t="shared" ca="1" si="7"/>
        <v>1</v>
      </c>
      <c r="I66">
        <f t="shared" ca="1" si="8"/>
        <v>2</v>
      </c>
      <c r="J66">
        <f t="shared" ca="1" si="9"/>
        <v>1</v>
      </c>
      <c r="K66">
        <f t="shared" ca="1" si="10"/>
        <v>0</v>
      </c>
      <c r="L66">
        <f t="shared" ca="1" si="11"/>
        <v>0</v>
      </c>
      <c r="M66">
        <f t="shared" ca="1" si="12"/>
        <v>1</v>
      </c>
      <c r="N66" t="str">
        <f t="shared" ca="1" si="13"/>
        <v>Low</v>
      </c>
    </row>
    <row r="67" spans="1:14" x14ac:dyDescent="0.25">
      <c r="A67">
        <f t="shared" ref="A67:A130" si="14">ROW()-1</f>
        <v>66</v>
      </c>
      <c r="B67">
        <f t="shared" ref="B67:B130" si="15">1000 + ROW()</f>
        <v>1067</v>
      </c>
      <c r="C67" t="str">
        <f t="shared" ref="C67:C130" ca="1" si="16">CHOOSE(RANDBETWEEN(1,3),"V1","V2","V3")</f>
        <v>V1</v>
      </c>
      <c r="D67">
        <f t="shared" ref="D67:D130" ca="1" si="17">CHOOSE(RANDBETWEEN(1,3),30,45,60)</f>
        <v>30</v>
      </c>
      <c r="E67">
        <f t="shared" ref="E67:E130" ca="1" si="18">RANDBETWEEN(D67*0.4,D67)</f>
        <v>27</v>
      </c>
      <c r="F67">
        <f t="shared" ref="F67:F130" ca="1" si="19">RANDBETWEEN(1,8)</f>
        <v>7</v>
      </c>
      <c r="G67">
        <f t="shared" ref="G67:G130" ca="1" si="20">F67/E67</f>
        <v>0.25925925925925924</v>
      </c>
      <c r="H67">
        <f t="shared" ref="H67:H130" ca="1" si="21">RANDBETWEEN(0,6)</f>
        <v>2</v>
      </c>
      <c r="I67">
        <f t="shared" ref="I67:I130" ca="1" si="22">RANDBETWEEN(0,4)</f>
        <v>3</v>
      </c>
      <c r="J67">
        <f t="shared" ref="J67:J130" ca="1" si="23">IF(I67&gt;0,RANDBETWEEN(0,1),0)</f>
        <v>0</v>
      </c>
      <c r="K67">
        <f t="shared" ref="K67:K130" ca="1" si="24">IF(E67/D67&gt;0.9,1,0)</f>
        <v>0</v>
      </c>
      <c r="L67">
        <f t="shared" ref="L67:L130" ca="1" si="25">IF(G67&gt;0.6,1,IF(G67&gt;0.3,RANDBETWEEN(0,1),0))</f>
        <v>0</v>
      </c>
      <c r="M67">
        <f t="shared" ref="M67:M130" ca="1" si="26">IF(H67&gt;=5, IF(RAND()&lt;0.1,1,0),
   IF(H67&gt;=3, IF(RAND()&lt;0.4,1,0),
      IF(H67&gt;=1, IF(RAND()&lt;0.7,1,0),
         1)))</f>
        <v>1</v>
      </c>
      <c r="N67" t="str">
        <f t="shared" ref="N67:N130" ca="1" si="27">IF(G67&lt;0.2,"Low",IF(G67&lt;=0.5,"Medium","High"))</f>
        <v>Medium</v>
      </c>
    </row>
    <row r="68" spans="1:14" x14ac:dyDescent="0.25">
      <c r="A68">
        <f t="shared" si="14"/>
        <v>67</v>
      </c>
      <c r="B68">
        <f t="shared" si="15"/>
        <v>1068</v>
      </c>
      <c r="C68" t="str">
        <f t="shared" ca="1" si="16"/>
        <v>V1</v>
      </c>
      <c r="D68">
        <f t="shared" ca="1" si="17"/>
        <v>45</v>
      </c>
      <c r="E68">
        <f t="shared" ca="1" si="18"/>
        <v>40</v>
      </c>
      <c r="F68">
        <f t="shared" ca="1" si="19"/>
        <v>6</v>
      </c>
      <c r="G68">
        <f t="shared" ca="1" si="20"/>
        <v>0.15</v>
      </c>
      <c r="H68">
        <f t="shared" ca="1" si="21"/>
        <v>1</v>
      </c>
      <c r="I68">
        <f t="shared" ca="1" si="22"/>
        <v>1</v>
      </c>
      <c r="J68">
        <f t="shared" ca="1" si="23"/>
        <v>1</v>
      </c>
      <c r="K68">
        <f t="shared" ca="1" si="24"/>
        <v>0</v>
      </c>
      <c r="L68">
        <f t="shared" ca="1" si="25"/>
        <v>0</v>
      </c>
      <c r="M68">
        <f t="shared" ca="1" si="26"/>
        <v>0</v>
      </c>
      <c r="N68" t="str">
        <f t="shared" ca="1" si="27"/>
        <v>Low</v>
      </c>
    </row>
    <row r="69" spans="1:14" x14ac:dyDescent="0.25">
      <c r="A69">
        <f t="shared" si="14"/>
        <v>68</v>
      </c>
      <c r="B69">
        <f t="shared" si="15"/>
        <v>1069</v>
      </c>
      <c r="C69" t="str">
        <f t="shared" ca="1" si="16"/>
        <v>V1</v>
      </c>
      <c r="D69">
        <f t="shared" ca="1" si="17"/>
        <v>60</v>
      </c>
      <c r="E69">
        <f t="shared" ca="1" si="18"/>
        <v>26</v>
      </c>
      <c r="F69">
        <f t="shared" ca="1" si="19"/>
        <v>2</v>
      </c>
      <c r="G69">
        <f t="shared" ca="1" si="20"/>
        <v>7.6923076923076927E-2</v>
      </c>
      <c r="H69">
        <f t="shared" ca="1" si="21"/>
        <v>2</v>
      </c>
      <c r="I69">
        <f t="shared" ca="1" si="22"/>
        <v>2</v>
      </c>
      <c r="J69">
        <f t="shared" ca="1" si="23"/>
        <v>0</v>
      </c>
      <c r="K69">
        <f t="shared" ca="1" si="24"/>
        <v>0</v>
      </c>
      <c r="L69">
        <f t="shared" ca="1" si="25"/>
        <v>0</v>
      </c>
      <c r="M69">
        <f t="shared" ca="1" si="26"/>
        <v>1</v>
      </c>
      <c r="N69" t="str">
        <f t="shared" ca="1" si="27"/>
        <v>Low</v>
      </c>
    </row>
    <row r="70" spans="1:14" x14ac:dyDescent="0.25">
      <c r="A70">
        <f t="shared" si="14"/>
        <v>69</v>
      </c>
      <c r="B70">
        <f t="shared" si="15"/>
        <v>1070</v>
      </c>
      <c r="C70" t="str">
        <f t="shared" ca="1" si="16"/>
        <v>V2</v>
      </c>
      <c r="D70">
        <f t="shared" ca="1" si="17"/>
        <v>60</v>
      </c>
      <c r="E70">
        <f t="shared" ca="1" si="18"/>
        <v>57</v>
      </c>
      <c r="F70">
        <f t="shared" ca="1" si="19"/>
        <v>8</v>
      </c>
      <c r="G70">
        <f t="shared" ca="1" si="20"/>
        <v>0.14035087719298245</v>
      </c>
      <c r="H70">
        <f t="shared" ca="1" si="21"/>
        <v>2</v>
      </c>
      <c r="I70">
        <f t="shared" ca="1" si="22"/>
        <v>2</v>
      </c>
      <c r="J70">
        <f t="shared" ca="1" si="23"/>
        <v>0</v>
      </c>
      <c r="K70">
        <f t="shared" ca="1" si="24"/>
        <v>1</v>
      </c>
      <c r="L70">
        <f t="shared" ca="1" si="25"/>
        <v>0</v>
      </c>
      <c r="M70">
        <f t="shared" ca="1" si="26"/>
        <v>1</v>
      </c>
      <c r="N70" t="str">
        <f t="shared" ca="1" si="27"/>
        <v>Low</v>
      </c>
    </row>
    <row r="71" spans="1:14" x14ac:dyDescent="0.25">
      <c r="A71">
        <f t="shared" si="14"/>
        <v>70</v>
      </c>
      <c r="B71">
        <f t="shared" si="15"/>
        <v>1071</v>
      </c>
      <c r="C71" t="str">
        <f t="shared" ca="1" si="16"/>
        <v>V3</v>
      </c>
      <c r="D71">
        <f t="shared" ca="1" si="17"/>
        <v>30</v>
      </c>
      <c r="E71">
        <f t="shared" ca="1" si="18"/>
        <v>14</v>
      </c>
      <c r="F71">
        <f t="shared" ca="1" si="19"/>
        <v>4</v>
      </c>
      <c r="G71">
        <f t="shared" ca="1" si="20"/>
        <v>0.2857142857142857</v>
      </c>
      <c r="H71">
        <f t="shared" ca="1" si="21"/>
        <v>4</v>
      </c>
      <c r="I71">
        <f t="shared" ca="1" si="22"/>
        <v>2</v>
      </c>
      <c r="J71">
        <f t="shared" ca="1" si="23"/>
        <v>0</v>
      </c>
      <c r="K71">
        <f t="shared" ca="1" si="24"/>
        <v>0</v>
      </c>
      <c r="L71">
        <f t="shared" ca="1" si="25"/>
        <v>0</v>
      </c>
      <c r="M71">
        <f t="shared" ca="1" si="26"/>
        <v>1</v>
      </c>
      <c r="N71" t="str">
        <f t="shared" ca="1" si="27"/>
        <v>Medium</v>
      </c>
    </row>
    <row r="72" spans="1:14" x14ac:dyDescent="0.25">
      <c r="A72">
        <f t="shared" si="14"/>
        <v>71</v>
      </c>
      <c r="B72">
        <f t="shared" si="15"/>
        <v>1072</v>
      </c>
      <c r="C72" t="str">
        <f t="shared" ca="1" si="16"/>
        <v>V2</v>
      </c>
      <c r="D72">
        <f t="shared" ca="1" si="17"/>
        <v>60</v>
      </c>
      <c r="E72">
        <f t="shared" ca="1" si="18"/>
        <v>32</v>
      </c>
      <c r="F72">
        <f t="shared" ca="1" si="19"/>
        <v>2</v>
      </c>
      <c r="G72">
        <f t="shared" ca="1" si="20"/>
        <v>6.25E-2</v>
      </c>
      <c r="H72">
        <f t="shared" ca="1" si="21"/>
        <v>6</v>
      </c>
      <c r="I72">
        <f t="shared" ca="1" si="22"/>
        <v>1</v>
      </c>
      <c r="J72">
        <f t="shared" ca="1" si="23"/>
        <v>1</v>
      </c>
      <c r="K72">
        <f t="shared" ca="1" si="24"/>
        <v>0</v>
      </c>
      <c r="L72">
        <f t="shared" ca="1" si="25"/>
        <v>0</v>
      </c>
      <c r="M72">
        <f t="shared" ca="1" si="26"/>
        <v>0</v>
      </c>
      <c r="N72" t="str">
        <f t="shared" ca="1" si="27"/>
        <v>Low</v>
      </c>
    </row>
    <row r="73" spans="1:14" x14ac:dyDescent="0.25">
      <c r="A73">
        <f t="shared" si="14"/>
        <v>72</v>
      </c>
      <c r="B73">
        <f t="shared" si="15"/>
        <v>1073</v>
      </c>
      <c r="C73" t="str">
        <f t="shared" ca="1" si="16"/>
        <v>V2</v>
      </c>
      <c r="D73">
        <f t="shared" ca="1" si="17"/>
        <v>60</v>
      </c>
      <c r="E73">
        <f t="shared" ca="1" si="18"/>
        <v>39</v>
      </c>
      <c r="F73">
        <f t="shared" ca="1" si="19"/>
        <v>3</v>
      </c>
      <c r="G73">
        <f t="shared" ca="1" si="20"/>
        <v>7.6923076923076927E-2</v>
      </c>
      <c r="H73">
        <f t="shared" ca="1" si="21"/>
        <v>0</v>
      </c>
      <c r="I73">
        <f t="shared" ca="1" si="22"/>
        <v>4</v>
      </c>
      <c r="J73">
        <f t="shared" ca="1" si="23"/>
        <v>1</v>
      </c>
      <c r="K73">
        <f t="shared" ca="1" si="24"/>
        <v>0</v>
      </c>
      <c r="L73">
        <f t="shared" ca="1" si="25"/>
        <v>0</v>
      </c>
      <c r="M73">
        <f t="shared" ca="1" si="26"/>
        <v>1</v>
      </c>
      <c r="N73" t="str">
        <f t="shared" ca="1" si="27"/>
        <v>Low</v>
      </c>
    </row>
    <row r="74" spans="1:14" x14ac:dyDescent="0.25">
      <c r="A74">
        <f t="shared" si="14"/>
        <v>73</v>
      </c>
      <c r="B74">
        <f t="shared" si="15"/>
        <v>1074</v>
      </c>
      <c r="C74" t="str">
        <f t="shared" ca="1" si="16"/>
        <v>V3</v>
      </c>
      <c r="D74">
        <f t="shared" ca="1" si="17"/>
        <v>45</v>
      </c>
      <c r="E74">
        <f t="shared" ca="1" si="18"/>
        <v>31</v>
      </c>
      <c r="F74">
        <f t="shared" ca="1" si="19"/>
        <v>4</v>
      </c>
      <c r="G74">
        <f t="shared" ca="1" si="20"/>
        <v>0.12903225806451613</v>
      </c>
      <c r="H74">
        <f t="shared" ca="1" si="21"/>
        <v>1</v>
      </c>
      <c r="I74">
        <f t="shared" ca="1" si="22"/>
        <v>1</v>
      </c>
      <c r="J74">
        <f t="shared" ca="1" si="23"/>
        <v>1</v>
      </c>
      <c r="K74">
        <f t="shared" ca="1" si="24"/>
        <v>0</v>
      </c>
      <c r="L74">
        <f t="shared" ca="1" si="25"/>
        <v>0</v>
      </c>
      <c r="M74">
        <f t="shared" ca="1" si="26"/>
        <v>1</v>
      </c>
      <c r="N74" t="str">
        <f t="shared" ca="1" si="27"/>
        <v>Low</v>
      </c>
    </row>
    <row r="75" spans="1:14" x14ac:dyDescent="0.25">
      <c r="A75">
        <f t="shared" si="14"/>
        <v>74</v>
      </c>
      <c r="B75">
        <f t="shared" si="15"/>
        <v>1075</v>
      </c>
      <c r="C75" t="str">
        <f t="shared" ca="1" si="16"/>
        <v>V2</v>
      </c>
      <c r="D75">
        <f t="shared" ca="1" si="17"/>
        <v>45</v>
      </c>
      <c r="E75">
        <f t="shared" ca="1" si="18"/>
        <v>38</v>
      </c>
      <c r="F75">
        <f t="shared" ca="1" si="19"/>
        <v>8</v>
      </c>
      <c r="G75">
        <f t="shared" ca="1" si="20"/>
        <v>0.21052631578947367</v>
      </c>
      <c r="H75">
        <f t="shared" ca="1" si="21"/>
        <v>4</v>
      </c>
      <c r="I75">
        <f t="shared" ca="1" si="22"/>
        <v>4</v>
      </c>
      <c r="J75">
        <f t="shared" ca="1" si="23"/>
        <v>0</v>
      </c>
      <c r="K75">
        <f t="shared" ca="1" si="24"/>
        <v>0</v>
      </c>
      <c r="L75">
        <f t="shared" ca="1" si="25"/>
        <v>0</v>
      </c>
      <c r="M75">
        <f t="shared" ca="1" si="26"/>
        <v>0</v>
      </c>
      <c r="N75" t="str">
        <f t="shared" ca="1" si="27"/>
        <v>Medium</v>
      </c>
    </row>
    <row r="76" spans="1:14" x14ac:dyDescent="0.25">
      <c r="A76">
        <f t="shared" si="14"/>
        <v>75</v>
      </c>
      <c r="B76">
        <f t="shared" si="15"/>
        <v>1076</v>
      </c>
      <c r="C76" t="str">
        <f t="shared" ca="1" si="16"/>
        <v>V1</v>
      </c>
      <c r="D76">
        <f t="shared" ca="1" si="17"/>
        <v>60</v>
      </c>
      <c r="E76">
        <f t="shared" ca="1" si="18"/>
        <v>47</v>
      </c>
      <c r="F76">
        <f t="shared" ca="1" si="19"/>
        <v>6</v>
      </c>
      <c r="G76">
        <f t="shared" ca="1" si="20"/>
        <v>0.1276595744680851</v>
      </c>
      <c r="H76">
        <f t="shared" ca="1" si="21"/>
        <v>1</v>
      </c>
      <c r="I76">
        <f t="shared" ca="1" si="22"/>
        <v>2</v>
      </c>
      <c r="J76">
        <f t="shared" ca="1" si="23"/>
        <v>1</v>
      </c>
      <c r="K76">
        <f t="shared" ca="1" si="24"/>
        <v>0</v>
      </c>
      <c r="L76">
        <f t="shared" ca="1" si="25"/>
        <v>0</v>
      </c>
      <c r="M76">
        <f t="shared" ca="1" si="26"/>
        <v>1</v>
      </c>
      <c r="N76" t="str">
        <f t="shared" ca="1" si="27"/>
        <v>Low</v>
      </c>
    </row>
    <row r="77" spans="1:14" x14ac:dyDescent="0.25">
      <c r="A77">
        <f t="shared" si="14"/>
        <v>76</v>
      </c>
      <c r="B77">
        <f t="shared" si="15"/>
        <v>1077</v>
      </c>
      <c r="C77" t="str">
        <f t="shared" ca="1" si="16"/>
        <v>V3</v>
      </c>
      <c r="D77">
        <f t="shared" ca="1" si="17"/>
        <v>60</v>
      </c>
      <c r="E77">
        <f t="shared" ca="1" si="18"/>
        <v>46</v>
      </c>
      <c r="F77">
        <f t="shared" ca="1" si="19"/>
        <v>6</v>
      </c>
      <c r="G77">
        <f t="shared" ca="1" si="20"/>
        <v>0.13043478260869565</v>
      </c>
      <c r="H77">
        <f t="shared" ca="1" si="21"/>
        <v>5</v>
      </c>
      <c r="I77">
        <f t="shared" ca="1" si="22"/>
        <v>0</v>
      </c>
      <c r="J77">
        <f t="shared" ca="1" si="23"/>
        <v>0</v>
      </c>
      <c r="K77">
        <f t="shared" ca="1" si="24"/>
        <v>0</v>
      </c>
      <c r="L77">
        <f t="shared" ca="1" si="25"/>
        <v>0</v>
      </c>
      <c r="M77">
        <f t="shared" ca="1" si="26"/>
        <v>0</v>
      </c>
      <c r="N77" t="str">
        <f t="shared" ca="1" si="27"/>
        <v>Low</v>
      </c>
    </row>
    <row r="78" spans="1:14" x14ac:dyDescent="0.25">
      <c r="A78">
        <f t="shared" si="14"/>
        <v>77</v>
      </c>
      <c r="B78">
        <f t="shared" si="15"/>
        <v>1078</v>
      </c>
      <c r="C78" t="str">
        <f t="shared" ca="1" si="16"/>
        <v>V1</v>
      </c>
      <c r="D78">
        <f t="shared" ca="1" si="17"/>
        <v>30</v>
      </c>
      <c r="E78">
        <f t="shared" ca="1" si="18"/>
        <v>30</v>
      </c>
      <c r="F78">
        <f t="shared" ca="1" si="19"/>
        <v>4</v>
      </c>
      <c r="G78">
        <f t="shared" ca="1" si="20"/>
        <v>0.13333333333333333</v>
      </c>
      <c r="H78">
        <f t="shared" ca="1" si="21"/>
        <v>3</v>
      </c>
      <c r="I78">
        <f t="shared" ca="1" si="22"/>
        <v>1</v>
      </c>
      <c r="J78">
        <f t="shared" ca="1" si="23"/>
        <v>1</v>
      </c>
      <c r="K78">
        <f t="shared" ca="1" si="24"/>
        <v>1</v>
      </c>
      <c r="L78">
        <f t="shared" ca="1" si="25"/>
        <v>0</v>
      </c>
      <c r="M78">
        <f t="shared" ca="1" si="26"/>
        <v>0</v>
      </c>
      <c r="N78" t="str">
        <f t="shared" ca="1" si="27"/>
        <v>Low</v>
      </c>
    </row>
    <row r="79" spans="1:14" x14ac:dyDescent="0.25">
      <c r="A79">
        <f t="shared" si="14"/>
        <v>78</v>
      </c>
      <c r="B79">
        <f t="shared" si="15"/>
        <v>1079</v>
      </c>
      <c r="C79" t="str">
        <f t="shared" ca="1" si="16"/>
        <v>V2</v>
      </c>
      <c r="D79">
        <f t="shared" ca="1" si="17"/>
        <v>30</v>
      </c>
      <c r="E79">
        <f t="shared" ca="1" si="18"/>
        <v>15</v>
      </c>
      <c r="F79">
        <f t="shared" ca="1" si="19"/>
        <v>1</v>
      </c>
      <c r="G79">
        <f t="shared" ca="1" si="20"/>
        <v>6.6666666666666666E-2</v>
      </c>
      <c r="H79">
        <f t="shared" ca="1" si="21"/>
        <v>3</v>
      </c>
      <c r="I79">
        <f t="shared" ca="1" si="22"/>
        <v>3</v>
      </c>
      <c r="J79">
        <f t="shared" ca="1" si="23"/>
        <v>1</v>
      </c>
      <c r="K79">
        <f t="shared" ca="1" si="24"/>
        <v>0</v>
      </c>
      <c r="L79">
        <f t="shared" ca="1" si="25"/>
        <v>0</v>
      </c>
      <c r="M79">
        <f t="shared" ca="1" si="26"/>
        <v>0</v>
      </c>
      <c r="N79" t="str">
        <f t="shared" ca="1" si="27"/>
        <v>Low</v>
      </c>
    </row>
    <row r="80" spans="1:14" x14ac:dyDescent="0.25">
      <c r="A80">
        <f t="shared" si="14"/>
        <v>79</v>
      </c>
      <c r="B80">
        <f t="shared" si="15"/>
        <v>1080</v>
      </c>
      <c r="C80" t="str">
        <f t="shared" ca="1" si="16"/>
        <v>V2</v>
      </c>
      <c r="D80">
        <f t="shared" ca="1" si="17"/>
        <v>45</v>
      </c>
      <c r="E80">
        <f t="shared" ca="1" si="18"/>
        <v>40</v>
      </c>
      <c r="F80">
        <f t="shared" ca="1" si="19"/>
        <v>8</v>
      </c>
      <c r="G80">
        <f t="shared" ca="1" si="20"/>
        <v>0.2</v>
      </c>
      <c r="H80">
        <f t="shared" ca="1" si="21"/>
        <v>3</v>
      </c>
      <c r="I80">
        <f t="shared" ca="1" si="22"/>
        <v>2</v>
      </c>
      <c r="J80">
        <f t="shared" ca="1" si="23"/>
        <v>0</v>
      </c>
      <c r="K80">
        <f t="shared" ca="1" si="24"/>
        <v>0</v>
      </c>
      <c r="L80">
        <f t="shared" ca="1" si="25"/>
        <v>0</v>
      </c>
      <c r="M80">
        <f t="shared" ca="1" si="26"/>
        <v>1</v>
      </c>
      <c r="N80" t="str">
        <f t="shared" ca="1" si="27"/>
        <v>Medium</v>
      </c>
    </row>
    <row r="81" spans="1:14" x14ac:dyDescent="0.25">
      <c r="A81">
        <f t="shared" si="14"/>
        <v>80</v>
      </c>
      <c r="B81">
        <f t="shared" si="15"/>
        <v>1081</v>
      </c>
      <c r="C81" t="str">
        <f t="shared" ca="1" si="16"/>
        <v>V3</v>
      </c>
      <c r="D81">
        <f t="shared" ca="1" si="17"/>
        <v>30</v>
      </c>
      <c r="E81">
        <f t="shared" ca="1" si="18"/>
        <v>21</v>
      </c>
      <c r="F81">
        <f t="shared" ca="1" si="19"/>
        <v>7</v>
      </c>
      <c r="G81">
        <f t="shared" ca="1" si="20"/>
        <v>0.33333333333333331</v>
      </c>
      <c r="H81">
        <f t="shared" ca="1" si="21"/>
        <v>2</v>
      </c>
      <c r="I81">
        <f t="shared" ca="1" si="22"/>
        <v>2</v>
      </c>
      <c r="J81">
        <f t="shared" ca="1" si="23"/>
        <v>1</v>
      </c>
      <c r="K81">
        <f t="shared" ca="1" si="24"/>
        <v>0</v>
      </c>
      <c r="L81">
        <f t="shared" ca="1" si="25"/>
        <v>0</v>
      </c>
      <c r="M81">
        <f t="shared" ca="1" si="26"/>
        <v>1</v>
      </c>
      <c r="N81" t="str">
        <f t="shared" ca="1" si="27"/>
        <v>Medium</v>
      </c>
    </row>
    <row r="82" spans="1:14" x14ac:dyDescent="0.25">
      <c r="A82">
        <f t="shared" si="14"/>
        <v>81</v>
      </c>
      <c r="B82">
        <f t="shared" si="15"/>
        <v>1082</v>
      </c>
      <c r="C82" t="str">
        <f t="shared" ca="1" si="16"/>
        <v>V3</v>
      </c>
      <c r="D82">
        <f t="shared" ca="1" si="17"/>
        <v>60</v>
      </c>
      <c r="E82">
        <f t="shared" ca="1" si="18"/>
        <v>27</v>
      </c>
      <c r="F82">
        <f t="shared" ca="1" si="19"/>
        <v>1</v>
      </c>
      <c r="G82">
        <f t="shared" ca="1" si="20"/>
        <v>3.7037037037037035E-2</v>
      </c>
      <c r="H82">
        <f t="shared" ca="1" si="21"/>
        <v>3</v>
      </c>
      <c r="I82">
        <f t="shared" ca="1" si="22"/>
        <v>3</v>
      </c>
      <c r="J82">
        <f t="shared" ca="1" si="23"/>
        <v>1</v>
      </c>
      <c r="K82">
        <f t="shared" ca="1" si="24"/>
        <v>0</v>
      </c>
      <c r="L82">
        <f t="shared" ca="1" si="25"/>
        <v>0</v>
      </c>
      <c r="M82">
        <f t="shared" ca="1" si="26"/>
        <v>0</v>
      </c>
      <c r="N82" t="str">
        <f t="shared" ca="1" si="27"/>
        <v>Low</v>
      </c>
    </row>
    <row r="83" spans="1:14" x14ac:dyDescent="0.25">
      <c r="A83">
        <f t="shared" si="14"/>
        <v>82</v>
      </c>
      <c r="B83">
        <f t="shared" si="15"/>
        <v>1083</v>
      </c>
      <c r="C83" t="str">
        <f t="shared" ca="1" si="16"/>
        <v>V3</v>
      </c>
      <c r="D83">
        <f t="shared" ca="1" si="17"/>
        <v>60</v>
      </c>
      <c r="E83">
        <f t="shared" ca="1" si="18"/>
        <v>52</v>
      </c>
      <c r="F83">
        <f t="shared" ca="1" si="19"/>
        <v>2</v>
      </c>
      <c r="G83">
        <f t="shared" ca="1" si="20"/>
        <v>3.8461538461538464E-2</v>
      </c>
      <c r="H83">
        <f t="shared" ca="1" si="21"/>
        <v>1</v>
      </c>
      <c r="I83">
        <f t="shared" ca="1" si="22"/>
        <v>0</v>
      </c>
      <c r="J83">
        <f t="shared" ca="1" si="23"/>
        <v>0</v>
      </c>
      <c r="K83">
        <f t="shared" ca="1" si="24"/>
        <v>0</v>
      </c>
      <c r="L83">
        <f t="shared" ca="1" si="25"/>
        <v>0</v>
      </c>
      <c r="M83">
        <f t="shared" ca="1" si="26"/>
        <v>0</v>
      </c>
      <c r="N83" t="str">
        <f t="shared" ca="1" si="27"/>
        <v>Low</v>
      </c>
    </row>
    <row r="84" spans="1:14" x14ac:dyDescent="0.25">
      <c r="A84">
        <f t="shared" si="14"/>
        <v>83</v>
      </c>
      <c r="B84">
        <f t="shared" si="15"/>
        <v>1084</v>
      </c>
      <c r="C84" t="str">
        <f t="shared" ca="1" si="16"/>
        <v>V3</v>
      </c>
      <c r="D84">
        <f t="shared" ca="1" si="17"/>
        <v>60</v>
      </c>
      <c r="E84">
        <f t="shared" ca="1" si="18"/>
        <v>49</v>
      </c>
      <c r="F84">
        <f t="shared" ca="1" si="19"/>
        <v>8</v>
      </c>
      <c r="G84">
        <f t="shared" ca="1" si="20"/>
        <v>0.16326530612244897</v>
      </c>
      <c r="H84">
        <f t="shared" ca="1" si="21"/>
        <v>0</v>
      </c>
      <c r="I84">
        <f t="shared" ca="1" si="22"/>
        <v>0</v>
      </c>
      <c r="J84">
        <f t="shared" ca="1" si="23"/>
        <v>0</v>
      </c>
      <c r="K84">
        <f t="shared" ca="1" si="24"/>
        <v>0</v>
      </c>
      <c r="L84">
        <f t="shared" ca="1" si="25"/>
        <v>0</v>
      </c>
      <c r="M84">
        <f t="shared" ca="1" si="26"/>
        <v>1</v>
      </c>
      <c r="N84" t="str">
        <f t="shared" ca="1" si="27"/>
        <v>Low</v>
      </c>
    </row>
    <row r="85" spans="1:14" x14ac:dyDescent="0.25">
      <c r="A85">
        <f t="shared" si="14"/>
        <v>84</v>
      </c>
      <c r="B85">
        <f t="shared" si="15"/>
        <v>1085</v>
      </c>
      <c r="C85" t="str">
        <f t="shared" ca="1" si="16"/>
        <v>V2</v>
      </c>
      <c r="D85">
        <f t="shared" ca="1" si="17"/>
        <v>60</v>
      </c>
      <c r="E85">
        <f t="shared" ca="1" si="18"/>
        <v>52</v>
      </c>
      <c r="F85">
        <f t="shared" ca="1" si="19"/>
        <v>6</v>
      </c>
      <c r="G85">
        <f t="shared" ca="1" si="20"/>
        <v>0.11538461538461539</v>
      </c>
      <c r="H85">
        <f t="shared" ca="1" si="21"/>
        <v>1</v>
      </c>
      <c r="I85">
        <f t="shared" ca="1" si="22"/>
        <v>0</v>
      </c>
      <c r="J85">
        <f t="shared" ca="1" si="23"/>
        <v>0</v>
      </c>
      <c r="K85">
        <f t="shared" ca="1" si="24"/>
        <v>0</v>
      </c>
      <c r="L85">
        <f t="shared" ca="1" si="25"/>
        <v>0</v>
      </c>
      <c r="M85">
        <f t="shared" ca="1" si="26"/>
        <v>0</v>
      </c>
      <c r="N85" t="str">
        <f t="shared" ca="1" si="27"/>
        <v>Low</v>
      </c>
    </row>
    <row r="86" spans="1:14" x14ac:dyDescent="0.25">
      <c r="A86">
        <f t="shared" si="14"/>
        <v>85</v>
      </c>
      <c r="B86">
        <f t="shared" si="15"/>
        <v>1086</v>
      </c>
      <c r="C86" t="str">
        <f t="shared" ca="1" si="16"/>
        <v>V1</v>
      </c>
      <c r="D86">
        <f t="shared" ca="1" si="17"/>
        <v>60</v>
      </c>
      <c r="E86">
        <f t="shared" ca="1" si="18"/>
        <v>56</v>
      </c>
      <c r="F86">
        <f t="shared" ca="1" si="19"/>
        <v>5</v>
      </c>
      <c r="G86">
        <f t="shared" ca="1" si="20"/>
        <v>8.9285714285714288E-2</v>
      </c>
      <c r="H86">
        <f t="shared" ca="1" si="21"/>
        <v>3</v>
      </c>
      <c r="I86">
        <f t="shared" ca="1" si="22"/>
        <v>1</v>
      </c>
      <c r="J86">
        <f t="shared" ca="1" si="23"/>
        <v>1</v>
      </c>
      <c r="K86">
        <f t="shared" ca="1" si="24"/>
        <v>1</v>
      </c>
      <c r="L86">
        <f t="shared" ca="1" si="25"/>
        <v>0</v>
      </c>
      <c r="M86">
        <f t="shared" ca="1" si="26"/>
        <v>0</v>
      </c>
      <c r="N86" t="str">
        <f t="shared" ca="1" si="27"/>
        <v>Low</v>
      </c>
    </row>
    <row r="87" spans="1:14" x14ac:dyDescent="0.25">
      <c r="A87">
        <f t="shared" si="14"/>
        <v>86</v>
      </c>
      <c r="B87">
        <f t="shared" si="15"/>
        <v>1087</v>
      </c>
      <c r="C87" t="str">
        <f t="shared" ca="1" si="16"/>
        <v>V2</v>
      </c>
      <c r="D87">
        <f t="shared" ca="1" si="17"/>
        <v>60</v>
      </c>
      <c r="E87">
        <f t="shared" ca="1" si="18"/>
        <v>25</v>
      </c>
      <c r="F87">
        <f t="shared" ca="1" si="19"/>
        <v>2</v>
      </c>
      <c r="G87">
        <f t="shared" ca="1" si="20"/>
        <v>0.08</v>
      </c>
      <c r="H87">
        <f t="shared" ca="1" si="21"/>
        <v>0</v>
      </c>
      <c r="I87">
        <f t="shared" ca="1" si="22"/>
        <v>1</v>
      </c>
      <c r="J87">
        <f t="shared" ca="1" si="23"/>
        <v>0</v>
      </c>
      <c r="K87">
        <f t="shared" ca="1" si="24"/>
        <v>0</v>
      </c>
      <c r="L87">
        <f t="shared" ca="1" si="25"/>
        <v>0</v>
      </c>
      <c r="M87">
        <f t="shared" ca="1" si="26"/>
        <v>1</v>
      </c>
      <c r="N87" t="str">
        <f t="shared" ca="1" si="27"/>
        <v>Low</v>
      </c>
    </row>
    <row r="88" spans="1:14" x14ac:dyDescent="0.25">
      <c r="A88">
        <f t="shared" si="14"/>
        <v>87</v>
      </c>
      <c r="B88">
        <f t="shared" si="15"/>
        <v>1088</v>
      </c>
      <c r="C88" t="str">
        <f t="shared" ca="1" si="16"/>
        <v>V1</v>
      </c>
      <c r="D88">
        <f t="shared" ca="1" si="17"/>
        <v>45</v>
      </c>
      <c r="E88">
        <f t="shared" ca="1" si="18"/>
        <v>26</v>
      </c>
      <c r="F88">
        <f t="shared" ca="1" si="19"/>
        <v>1</v>
      </c>
      <c r="G88">
        <f t="shared" ca="1" si="20"/>
        <v>3.8461538461538464E-2</v>
      </c>
      <c r="H88">
        <f t="shared" ca="1" si="21"/>
        <v>0</v>
      </c>
      <c r="I88">
        <f t="shared" ca="1" si="22"/>
        <v>0</v>
      </c>
      <c r="J88">
        <f t="shared" ca="1" si="23"/>
        <v>0</v>
      </c>
      <c r="K88">
        <f t="shared" ca="1" si="24"/>
        <v>0</v>
      </c>
      <c r="L88">
        <f t="shared" ca="1" si="25"/>
        <v>0</v>
      </c>
      <c r="M88">
        <f t="shared" ca="1" si="26"/>
        <v>1</v>
      </c>
      <c r="N88" t="str">
        <f t="shared" ca="1" si="27"/>
        <v>Low</v>
      </c>
    </row>
    <row r="89" spans="1:14" x14ac:dyDescent="0.25">
      <c r="A89">
        <f t="shared" si="14"/>
        <v>88</v>
      </c>
      <c r="B89">
        <f t="shared" si="15"/>
        <v>1089</v>
      </c>
      <c r="C89" t="str">
        <f t="shared" ca="1" si="16"/>
        <v>V1</v>
      </c>
      <c r="D89">
        <f t="shared" ca="1" si="17"/>
        <v>30</v>
      </c>
      <c r="E89">
        <f t="shared" ca="1" si="18"/>
        <v>21</v>
      </c>
      <c r="F89">
        <f t="shared" ca="1" si="19"/>
        <v>2</v>
      </c>
      <c r="G89">
        <f t="shared" ca="1" si="20"/>
        <v>9.5238095238095233E-2</v>
      </c>
      <c r="H89">
        <f t="shared" ca="1" si="21"/>
        <v>1</v>
      </c>
      <c r="I89">
        <f t="shared" ca="1" si="22"/>
        <v>0</v>
      </c>
      <c r="J89">
        <f t="shared" ca="1" si="23"/>
        <v>0</v>
      </c>
      <c r="K89">
        <f t="shared" ca="1" si="24"/>
        <v>0</v>
      </c>
      <c r="L89">
        <f t="shared" ca="1" si="25"/>
        <v>0</v>
      </c>
      <c r="M89">
        <f t="shared" ca="1" si="26"/>
        <v>1</v>
      </c>
      <c r="N89" t="str">
        <f t="shared" ca="1" si="27"/>
        <v>Low</v>
      </c>
    </row>
    <row r="90" spans="1:14" x14ac:dyDescent="0.25">
      <c r="A90">
        <f t="shared" si="14"/>
        <v>89</v>
      </c>
      <c r="B90">
        <f t="shared" si="15"/>
        <v>1090</v>
      </c>
      <c r="C90" t="str">
        <f t="shared" ca="1" si="16"/>
        <v>V1</v>
      </c>
      <c r="D90">
        <f t="shared" ca="1" si="17"/>
        <v>45</v>
      </c>
      <c r="E90">
        <f t="shared" ca="1" si="18"/>
        <v>34</v>
      </c>
      <c r="F90">
        <f t="shared" ca="1" si="19"/>
        <v>4</v>
      </c>
      <c r="G90">
        <f t="shared" ca="1" si="20"/>
        <v>0.11764705882352941</v>
      </c>
      <c r="H90">
        <f t="shared" ca="1" si="21"/>
        <v>2</v>
      </c>
      <c r="I90">
        <f t="shared" ca="1" si="22"/>
        <v>2</v>
      </c>
      <c r="J90">
        <f t="shared" ca="1" si="23"/>
        <v>0</v>
      </c>
      <c r="K90">
        <f t="shared" ca="1" si="24"/>
        <v>0</v>
      </c>
      <c r="L90">
        <f t="shared" ca="1" si="25"/>
        <v>0</v>
      </c>
      <c r="M90">
        <f t="shared" ca="1" si="26"/>
        <v>1</v>
      </c>
      <c r="N90" t="str">
        <f t="shared" ca="1" si="27"/>
        <v>Low</v>
      </c>
    </row>
    <row r="91" spans="1:14" x14ac:dyDescent="0.25">
      <c r="A91">
        <f t="shared" si="14"/>
        <v>90</v>
      </c>
      <c r="B91">
        <f t="shared" si="15"/>
        <v>1091</v>
      </c>
      <c r="C91" t="str">
        <f t="shared" ca="1" si="16"/>
        <v>V2</v>
      </c>
      <c r="D91">
        <f t="shared" ca="1" si="17"/>
        <v>45</v>
      </c>
      <c r="E91">
        <f t="shared" ca="1" si="18"/>
        <v>38</v>
      </c>
      <c r="F91">
        <f t="shared" ca="1" si="19"/>
        <v>3</v>
      </c>
      <c r="G91">
        <f t="shared" ca="1" si="20"/>
        <v>7.8947368421052627E-2</v>
      </c>
      <c r="H91">
        <f t="shared" ca="1" si="21"/>
        <v>0</v>
      </c>
      <c r="I91">
        <f t="shared" ca="1" si="22"/>
        <v>4</v>
      </c>
      <c r="J91">
        <f t="shared" ca="1" si="23"/>
        <v>0</v>
      </c>
      <c r="K91">
        <f t="shared" ca="1" si="24"/>
        <v>0</v>
      </c>
      <c r="L91">
        <f t="shared" ca="1" si="25"/>
        <v>0</v>
      </c>
      <c r="M91">
        <f t="shared" ca="1" si="26"/>
        <v>1</v>
      </c>
      <c r="N91" t="str">
        <f t="shared" ca="1" si="27"/>
        <v>Low</v>
      </c>
    </row>
    <row r="92" spans="1:14" x14ac:dyDescent="0.25">
      <c r="A92">
        <f t="shared" si="14"/>
        <v>91</v>
      </c>
      <c r="B92">
        <f t="shared" si="15"/>
        <v>1092</v>
      </c>
      <c r="C92" t="str">
        <f t="shared" ca="1" si="16"/>
        <v>V1</v>
      </c>
      <c r="D92">
        <f t="shared" ca="1" si="17"/>
        <v>30</v>
      </c>
      <c r="E92">
        <f t="shared" ca="1" si="18"/>
        <v>20</v>
      </c>
      <c r="F92">
        <f t="shared" ca="1" si="19"/>
        <v>6</v>
      </c>
      <c r="G92">
        <f t="shared" ca="1" si="20"/>
        <v>0.3</v>
      </c>
      <c r="H92">
        <f t="shared" ca="1" si="21"/>
        <v>4</v>
      </c>
      <c r="I92">
        <f t="shared" ca="1" si="22"/>
        <v>4</v>
      </c>
      <c r="J92">
        <f t="shared" ca="1" si="23"/>
        <v>1</v>
      </c>
      <c r="K92">
        <f t="shared" ca="1" si="24"/>
        <v>0</v>
      </c>
      <c r="L92">
        <f t="shared" ca="1" si="25"/>
        <v>0</v>
      </c>
      <c r="M92">
        <f t="shared" ca="1" si="26"/>
        <v>0</v>
      </c>
      <c r="N92" t="str">
        <f t="shared" ca="1" si="27"/>
        <v>Medium</v>
      </c>
    </row>
    <row r="93" spans="1:14" x14ac:dyDescent="0.25">
      <c r="A93">
        <f t="shared" si="14"/>
        <v>92</v>
      </c>
      <c r="B93">
        <f t="shared" si="15"/>
        <v>1093</v>
      </c>
      <c r="C93" t="str">
        <f t="shared" ca="1" si="16"/>
        <v>V2</v>
      </c>
      <c r="D93">
        <f t="shared" ca="1" si="17"/>
        <v>45</v>
      </c>
      <c r="E93">
        <f t="shared" ca="1" si="18"/>
        <v>30</v>
      </c>
      <c r="F93">
        <f t="shared" ca="1" si="19"/>
        <v>4</v>
      </c>
      <c r="G93">
        <f t="shared" ca="1" si="20"/>
        <v>0.13333333333333333</v>
      </c>
      <c r="H93">
        <f t="shared" ca="1" si="21"/>
        <v>4</v>
      </c>
      <c r="I93">
        <f t="shared" ca="1" si="22"/>
        <v>0</v>
      </c>
      <c r="J93">
        <f t="shared" ca="1" si="23"/>
        <v>0</v>
      </c>
      <c r="K93">
        <f t="shared" ca="1" si="24"/>
        <v>0</v>
      </c>
      <c r="L93">
        <f t="shared" ca="1" si="25"/>
        <v>0</v>
      </c>
      <c r="M93">
        <f t="shared" ca="1" si="26"/>
        <v>0</v>
      </c>
      <c r="N93" t="str">
        <f t="shared" ca="1" si="27"/>
        <v>Low</v>
      </c>
    </row>
    <row r="94" spans="1:14" x14ac:dyDescent="0.25">
      <c r="A94">
        <f t="shared" si="14"/>
        <v>93</v>
      </c>
      <c r="B94">
        <f t="shared" si="15"/>
        <v>1094</v>
      </c>
      <c r="C94" t="str">
        <f t="shared" ca="1" si="16"/>
        <v>V1</v>
      </c>
      <c r="D94">
        <f t="shared" ca="1" si="17"/>
        <v>45</v>
      </c>
      <c r="E94">
        <f t="shared" ca="1" si="18"/>
        <v>45</v>
      </c>
      <c r="F94">
        <f t="shared" ca="1" si="19"/>
        <v>3</v>
      </c>
      <c r="G94">
        <f t="shared" ca="1" si="20"/>
        <v>6.6666666666666666E-2</v>
      </c>
      <c r="H94">
        <f t="shared" ca="1" si="21"/>
        <v>3</v>
      </c>
      <c r="I94">
        <f t="shared" ca="1" si="22"/>
        <v>0</v>
      </c>
      <c r="J94">
        <f t="shared" ca="1" si="23"/>
        <v>0</v>
      </c>
      <c r="K94">
        <f t="shared" ca="1" si="24"/>
        <v>1</v>
      </c>
      <c r="L94">
        <f t="shared" ca="1" si="25"/>
        <v>0</v>
      </c>
      <c r="M94">
        <f t="shared" ca="1" si="26"/>
        <v>0</v>
      </c>
      <c r="N94" t="str">
        <f t="shared" ca="1" si="27"/>
        <v>Low</v>
      </c>
    </row>
    <row r="95" spans="1:14" x14ac:dyDescent="0.25">
      <c r="A95">
        <f t="shared" si="14"/>
        <v>94</v>
      </c>
      <c r="B95">
        <f t="shared" si="15"/>
        <v>1095</v>
      </c>
      <c r="C95" t="str">
        <f t="shared" ca="1" si="16"/>
        <v>V3</v>
      </c>
      <c r="D95">
        <f t="shared" ca="1" si="17"/>
        <v>45</v>
      </c>
      <c r="E95">
        <f t="shared" ca="1" si="18"/>
        <v>43</v>
      </c>
      <c r="F95">
        <f t="shared" ca="1" si="19"/>
        <v>4</v>
      </c>
      <c r="G95">
        <f t="shared" ca="1" si="20"/>
        <v>9.3023255813953487E-2</v>
      </c>
      <c r="H95">
        <f t="shared" ca="1" si="21"/>
        <v>0</v>
      </c>
      <c r="I95">
        <f t="shared" ca="1" si="22"/>
        <v>3</v>
      </c>
      <c r="J95">
        <f t="shared" ca="1" si="23"/>
        <v>1</v>
      </c>
      <c r="K95">
        <f t="shared" ca="1" si="24"/>
        <v>1</v>
      </c>
      <c r="L95">
        <f t="shared" ca="1" si="25"/>
        <v>0</v>
      </c>
      <c r="M95">
        <f t="shared" ca="1" si="26"/>
        <v>1</v>
      </c>
      <c r="N95" t="str">
        <f t="shared" ca="1" si="27"/>
        <v>Low</v>
      </c>
    </row>
    <row r="96" spans="1:14" x14ac:dyDescent="0.25">
      <c r="A96">
        <f t="shared" si="14"/>
        <v>95</v>
      </c>
      <c r="B96">
        <f t="shared" si="15"/>
        <v>1096</v>
      </c>
      <c r="C96" t="str">
        <f t="shared" ca="1" si="16"/>
        <v>V1</v>
      </c>
      <c r="D96">
        <f t="shared" ca="1" si="17"/>
        <v>30</v>
      </c>
      <c r="E96">
        <f t="shared" ca="1" si="18"/>
        <v>20</v>
      </c>
      <c r="F96">
        <f t="shared" ca="1" si="19"/>
        <v>1</v>
      </c>
      <c r="G96">
        <f t="shared" ca="1" si="20"/>
        <v>0.05</v>
      </c>
      <c r="H96">
        <f t="shared" ca="1" si="21"/>
        <v>3</v>
      </c>
      <c r="I96">
        <f t="shared" ca="1" si="22"/>
        <v>3</v>
      </c>
      <c r="J96">
        <f t="shared" ca="1" si="23"/>
        <v>0</v>
      </c>
      <c r="K96">
        <f t="shared" ca="1" si="24"/>
        <v>0</v>
      </c>
      <c r="L96">
        <f t="shared" ca="1" si="25"/>
        <v>0</v>
      </c>
      <c r="M96">
        <f t="shared" ca="1" si="26"/>
        <v>1</v>
      </c>
      <c r="N96" t="str">
        <f t="shared" ca="1" si="27"/>
        <v>Low</v>
      </c>
    </row>
    <row r="97" spans="1:14" x14ac:dyDescent="0.25">
      <c r="A97">
        <f t="shared" si="14"/>
        <v>96</v>
      </c>
      <c r="B97">
        <f t="shared" si="15"/>
        <v>1097</v>
      </c>
      <c r="C97" t="str">
        <f t="shared" ca="1" si="16"/>
        <v>V1</v>
      </c>
      <c r="D97">
        <f t="shared" ca="1" si="17"/>
        <v>45</v>
      </c>
      <c r="E97">
        <f t="shared" ca="1" si="18"/>
        <v>18</v>
      </c>
      <c r="F97">
        <f t="shared" ca="1" si="19"/>
        <v>3</v>
      </c>
      <c r="G97">
        <f t="shared" ca="1" si="20"/>
        <v>0.16666666666666666</v>
      </c>
      <c r="H97">
        <f t="shared" ca="1" si="21"/>
        <v>4</v>
      </c>
      <c r="I97">
        <f t="shared" ca="1" si="22"/>
        <v>2</v>
      </c>
      <c r="J97">
        <f t="shared" ca="1" si="23"/>
        <v>0</v>
      </c>
      <c r="K97">
        <f t="shared" ca="1" si="24"/>
        <v>0</v>
      </c>
      <c r="L97">
        <f t="shared" ca="1" si="25"/>
        <v>0</v>
      </c>
      <c r="M97">
        <f t="shared" ca="1" si="26"/>
        <v>0</v>
      </c>
      <c r="N97" t="str">
        <f t="shared" ca="1" si="27"/>
        <v>Low</v>
      </c>
    </row>
    <row r="98" spans="1:14" x14ac:dyDescent="0.25">
      <c r="A98">
        <f t="shared" si="14"/>
        <v>97</v>
      </c>
      <c r="B98">
        <f t="shared" si="15"/>
        <v>1098</v>
      </c>
      <c r="C98" t="str">
        <f t="shared" ca="1" si="16"/>
        <v>V1</v>
      </c>
      <c r="D98">
        <f t="shared" ca="1" si="17"/>
        <v>60</v>
      </c>
      <c r="E98">
        <f t="shared" ca="1" si="18"/>
        <v>51</v>
      </c>
      <c r="F98">
        <f t="shared" ca="1" si="19"/>
        <v>4</v>
      </c>
      <c r="G98">
        <f t="shared" ca="1" si="20"/>
        <v>7.8431372549019607E-2</v>
      </c>
      <c r="H98">
        <f t="shared" ca="1" si="21"/>
        <v>4</v>
      </c>
      <c r="I98">
        <f t="shared" ca="1" si="22"/>
        <v>3</v>
      </c>
      <c r="J98">
        <f t="shared" ca="1" si="23"/>
        <v>0</v>
      </c>
      <c r="K98">
        <f t="shared" ca="1" si="24"/>
        <v>0</v>
      </c>
      <c r="L98">
        <f t="shared" ca="1" si="25"/>
        <v>0</v>
      </c>
      <c r="M98">
        <f t="shared" ca="1" si="26"/>
        <v>0</v>
      </c>
      <c r="N98" t="str">
        <f t="shared" ca="1" si="27"/>
        <v>Low</v>
      </c>
    </row>
    <row r="99" spans="1:14" x14ac:dyDescent="0.25">
      <c r="A99">
        <f t="shared" si="14"/>
        <v>98</v>
      </c>
      <c r="B99">
        <f t="shared" si="15"/>
        <v>1099</v>
      </c>
      <c r="C99" t="str">
        <f t="shared" ca="1" si="16"/>
        <v>V3</v>
      </c>
      <c r="D99">
        <f t="shared" ca="1" si="17"/>
        <v>30</v>
      </c>
      <c r="E99">
        <f t="shared" ca="1" si="18"/>
        <v>15</v>
      </c>
      <c r="F99">
        <f t="shared" ca="1" si="19"/>
        <v>2</v>
      </c>
      <c r="G99">
        <f t="shared" ca="1" si="20"/>
        <v>0.13333333333333333</v>
      </c>
      <c r="H99">
        <f t="shared" ca="1" si="21"/>
        <v>0</v>
      </c>
      <c r="I99">
        <f t="shared" ca="1" si="22"/>
        <v>2</v>
      </c>
      <c r="J99">
        <f t="shared" ca="1" si="23"/>
        <v>1</v>
      </c>
      <c r="K99">
        <f t="shared" ca="1" si="24"/>
        <v>0</v>
      </c>
      <c r="L99">
        <f t="shared" ca="1" si="25"/>
        <v>0</v>
      </c>
      <c r="M99">
        <f t="shared" ca="1" si="26"/>
        <v>1</v>
      </c>
      <c r="N99" t="str">
        <f t="shared" ca="1" si="27"/>
        <v>Low</v>
      </c>
    </row>
    <row r="100" spans="1:14" x14ac:dyDescent="0.25">
      <c r="A100">
        <f t="shared" si="14"/>
        <v>99</v>
      </c>
      <c r="B100">
        <f t="shared" si="15"/>
        <v>1100</v>
      </c>
      <c r="C100" t="str">
        <f t="shared" ca="1" si="16"/>
        <v>V3</v>
      </c>
      <c r="D100">
        <f t="shared" ca="1" si="17"/>
        <v>60</v>
      </c>
      <c r="E100">
        <f t="shared" ca="1" si="18"/>
        <v>37</v>
      </c>
      <c r="F100">
        <f t="shared" ca="1" si="19"/>
        <v>5</v>
      </c>
      <c r="G100">
        <f t="shared" ca="1" si="20"/>
        <v>0.13513513513513514</v>
      </c>
      <c r="H100">
        <f t="shared" ca="1" si="21"/>
        <v>0</v>
      </c>
      <c r="I100">
        <f t="shared" ca="1" si="22"/>
        <v>0</v>
      </c>
      <c r="J100">
        <f t="shared" ca="1" si="23"/>
        <v>0</v>
      </c>
      <c r="K100">
        <f t="shared" ca="1" si="24"/>
        <v>0</v>
      </c>
      <c r="L100">
        <f t="shared" ca="1" si="25"/>
        <v>0</v>
      </c>
      <c r="M100">
        <f t="shared" ca="1" si="26"/>
        <v>1</v>
      </c>
      <c r="N100" t="str">
        <f t="shared" ca="1" si="27"/>
        <v>Low</v>
      </c>
    </row>
    <row r="101" spans="1:14" x14ac:dyDescent="0.25">
      <c r="A101">
        <f t="shared" si="14"/>
        <v>100</v>
      </c>
      <c r="B101">
        <f t="shared" si="15"/>
        <v>1101</v>
      </c>
      <c r="C101" t="str">
        <f t="shared" ca="1" si="16"/>
        <v>V2</v>
      </c>
      <c r="D101">
        <f t="shared" ca="1" si="17"/>
        <v>60</v>
      </c>
      <c r="E101">
        <f t="shared" ca="1" si="18"/>
        <v>32</v>
      </c>
      <c r="F101">
        <f t="shared" ca="1" si="19"/>
        <v>4</v>
      </c>
      <c r="G101">
        <f t="shared" ca="1" si="20"/>
        <v>0.125</v>
      </c>
      <c r="H101">
        <f t="shared" ca="1" si="21"/>
        <v>6</v>
      </c>
      <c r="I101">
        <f t="shared" ca="1" si="22"/>
        <v>2</v>
      </c>
      <c r="J101">
        <f t="shared" ca="1" si="23"/>
        <v>1</v>
      </c>
      <c r="K101">
        <f t="shared" ca="1" si="24"/>
        <v>0</v>
      </c>
      <c r="L101">
        <f t="shared" ca="1" si="25"/>
        <v>0</v>
      </c>
      <c r="M101">
        <f t="shared" ca="1" si="26"/>
        <v>1</v>
      </c>
      <c r="N101" t="str">
        <f t="shared" ca="1" si="27"/>
        <v>Low</v>
      </c>
    </row>
    <row r="102" spans="1:14" x14ac:dyDescent="0.25">
      <c r="A102">
        <f t="shared" si="14"/>
        <v>101</v>
      </c>
      <c r="B102">
        <f t="shared" si="15"/>
        <v>1102</v>
      </c>
      <c r="C102" t="str">
        <f t="shared" ca="1" si="16"/>
        <v>V1</v>
      </c>
      <c r="D102">
        <f t="shared" ca="1" si="17"/>
        <v>45</v>
      </c>
      <c r="E102">
        <f t="shared" ca="1" si="18"/>
        <v>27</v>
      </c>
      <c r="F102">
        <f t="shared" ca="1" si="19"/>
        <v>3</v>
      </c>
      <c r="G102">
        <f t="shared" ca="1" si="20"/>
        <v>0.1111111111111111</v>
      </c>
      <c r="H102">
        <f t="shared" ca="1" si="21"/>
        <v>1</v>
      </c>
      <c r="I102">
        <f t="shared" ca="1" si="22"/>
        <v>4</v>
      </c>
      <c r="J102">
        <f t="shared" ca="1" si="23"/>
        <v>0</v>
      </c>
      <c r="K102">
        <f t="shared" ca="1" si="24"/>
        <v>0</v>
      </c>
      <c r="L102">
        <f t="shared" ca="1" si="25"/>
        <v>0</v>
      </c>
      <c r="M102">
        <f t="shared" ca="1" si="26"/>
        <v>1</v>
      </c>
      <c r="N102" t="str">
        <f t="shared" ca="1" si="27"/>
        <v>Low</v>
      </c>
    </row>
    <row r="103" spans="1:14" x14ac:dyDescent="0.25">
      <c r="A103">
        <f t="shared" si="14"/>
        <v>102</v>
      </c>
      <c r="B103">
        <f t="shared" si="15"/>
        <v>1103</v>
      </c>
      <c r="C103" t="str">
        <f t="shared" ca="1" si="16"/>
        <v>V1</v>
      </c>
      <c r="D103">
        <f t="shared" ca="1" si="17"/>
        <v>60</v>
      </c>
      <c r="E103">
        <f t="shared" ca="1" si="18"/>
        <v>41</v>
      </c>
      <c r="F103">
        <f t="shared" ca="1" si="19"/>
        <v>4</v>
      </c>
      <c r="G103">
        <f t="shared" ca="1" si="20"/>
        <v>9.7560975609756101E-2</v>
      </c>
      <c r="H103">
        <f t="shared" ca="1" si="21"/>
        <v>5</v>
      </c>
      <c r="I103">
        <f t="shared" ca="1" si="22"/>
        <v>4</v>
      </c>
      <c r="J103">
        <f t="shared" ca="1" si="23"/>
        <v>1</v>
      </c>
      <c r="K103">
        <f t="shared" ca="1" si="24"/>
        <v>0</v>
      </c>
      <c r="L103">
        <f t="shared" ca="1" si="25"/>
        <v>0</v>
      </c>
      <c r="M103">
        <f t="shared" ca="1" si="26"/>
        <v>0</v>
      </c>
      <c r="N103" t="str">
        <f t="shared" ca="1" si="27"/>
        <v>Low</v>
      </c>
    </row>
    <row r="104" spans="1:14" x14ac:dyDescent="0.25">
      <c r="A104">
        <f t="shared" si="14"/>
        <v>103</v>
      </c>
      <c r="B104">
        <f t="shared" si="15"/>
        <v>1104</v>
      </c>
      <c r="C104" t="str">
        <f t="shared" ca="1" si="16"/>
        <v>V1</v>
      </c>
      <c r="D104">
        <f t="shared" ca="1" si="17"/>
        <v>30</v>
      </c>
      <c r="E104">
        <f t="shared" ca="1" si="18"/>
        <v>16</v>
      </c>
      <c r="F104">
        <f t="shared" ca="1" si="19"/>
        <v>4</v>
      </c>
      <c r="G104">
        <f t="shared" ca="1" si="20"/>
        <v>0.25</v>
      </c>
      <c r="H104">
        <f t="shared" ca="1" si="21"/>
        <v>1</v>
      </c>
      <c r="I104">
        <f t="shared" ca="1" si="22"/>
        <v>0</v>
      </c>
      <c r="J104">
        <f t="shared" ca="1" si="23"/>
        <v>0</v>
      </c>
      <c r="K104">
        <f t="shared" ca="1" si="24"/>
        <v>0</v>
      </c>
      <c r="L104">
        <f t="shared" ca="1" si="25"/>
        <v>0</v>
      </c>
      <c r="M104">
        <f t="shared" ca="1" si="26"/>
        <v>1</v>
      </c>
      <c r="N104" t="str">
        <f t="shared" ca="1" si="27"/>
        <v>Medium</v>
      </c>
    </row>
    <row r="105" spans="1:14" x14ac:dyDescent="0.25">
      <c r="A105">
        <f t="shared" si="14"/>
        <v>104</v>
      </c>
      <c r="B105">
        <f t="shared" si="15"/>
        <v>1105</v>
      </c>
      <c r="C105" t="str">
        <f t="shared" ca="1" si="16"/>
        <v>V1</v>
      </c>
      <c r="D105">
        <f t="shared" ca="1" si="17"/>
        <v>60</v>
      </c>
      <c r="E105">
        <f t="shared" ca="1" si="18"/>
        <v>56</v>
      </c>
      <c r="F105">
        <f t="shared" ca="1" si="19"/>
        <v>1</v>
      </c>
      <c r="G105">
        <f t="shared" ca="1" si="20"/>
        <v>1.7857142857142856E-2</v>
      </c>
      <c r="H105">
        <f t="shared" ca="1" si="21"/>
        <v>4</v>
      </c>
      <c r="I105">
        <f t="shared" ca="1" si="22"/>
        <v>0</v>
      </c>
      <c r="J105">
        <f t="shared" ca="1" si="23"/>
        <v>0</v>
      </c>
      <c r="K105">
        <f t="shared" ca="1" si="24"/>
        <v>1</v>
      </c>
      <c r="L105">
        <f t="shared" ca="1" si="25"/>
        <v>0</v>
      </c>
      <c r="M105">
        <f t="shared" ca="1" si="26"/>
        <v>1</v>
      </c>
      <c r="N105" t="str">
        <f t="shared" ca="1" si="27"/>
        <v>Low</v>
      </c>
    </row>
    <row r="106" spans="1:14" x14ac:dyDescent="0.25">
      <c r="A106">
        <f t="shared" si="14"/>
        <v>105</v>
      </c>
      <c r="B106">
        <f t="shared" si="15"/>
        <v>1106</v>
      </c>
      <c r="C106" t="str">
        <f t="shared" ca="1" si="16"/>
        <v>V2</v>
      </c>
      <c r="D106">
        <f t="shared" ca="1" si="17"/>
        <v>45</v>
      </c>
      <c r="E106">
        <f t="shared" ca="1" si="18"/>
        <v>20</v>
      </c>
      <c r="F106">
        <f t="shared" ca="1" si="19"/>
        <v>2</v>
      </c>
      <c r="G106">
        <f t="shared" ca="1" si="20"/>
        <v>0.1</v>
      </c>
      <c r="H106">
        <f t="shared" ca="1" si="21"/>
        <v>2</v>
      </c>
      <c r="I106">
        <f t="shared" ca="1" si="22"/>
        <v>2</v>
      </c>
      <c r="J106">
        <f t="shared" ca="1" si="23"/>
        <v>1</v>
      </c>
      <c r="K106">
        <f t="shared" ca="1" si="24"/>
        <v>0</v>
      </c>
      <c r="L106">
        <f t="shared" ca="1" si="25"/>
        <v>0</v>
      </c>
      <c r="M106">
        <f t="shared" ca="1" si="26"/>
        <v>1</v>
      </c>
      <c r="N106" t="str">
        <f t="shared" ca="1" si="27"/>
        <v>Low</v>
      </c>
    </row>
    <row r="107" spans="1:14" x14ac:dyDescent="0.25">
      <c r="A107">
        <f t="shared" si="14"/>
        <v>106</v>
      </c>
      <c r="B107">
        <f t="shared" si="15"/>
        <v>1107</v>
      </c>
      <c r="C107" t="str">
        <f t="shared" ca="1" si="16"/>
        <v>V2</v>
      </c>
      <c r="D107">
        <f t="shared" ca="1" si="17"/>
        <v>60</v>
      </c>
      <c r="E107">
        <f t="shared" ca="1" si="18"/>
        <v>27</v>
      </c>
      <c r="F107">
        <f t="shared" ca="1" si="19"/>
        <v>8</v>
      </c>
      <c r="G107">
        <f t="shared" ca="1" si="20"/>
        <v>0.29629629629629628</v>
      </c>
      <c r="H107">
        <f t="shared" ca="1" si="21"/>
        <v>1</v>
      </c>
      <c r="I107">
        <f t="shared" ca="1" si="22"/>
        <v>2</v>
      </c>
      <c r="J107">
        <f t="shared" ca="1" si="23"/>
        <v>0</v>
      </c>
      <c r="K107">
        <f t="shared" ca="1" si="24"/>
        <v>0</v>
      </c>
      <c r="L107">
        <f t="shared" ca="1" si="25"/>
        <v>0</v>
      </c>
      <c r="M107">
        <f t="shared" ca="1" si="26"/>
        <v>0</v>
      </c>
      <c r="N107" t="str">
        <f t="shared" ca="1" si="27"/>
        <v>Medium</v>
      </c>
    </row>
    <row r="108" spans="1:14" x14ac:dyDescent="0.25">
      <c r="A108">
        <f t="shared" si="14"/>
        <v>107</v>
      </c>
      <c r="B108">
        <f t="shared" si="15"/>
        <v>1108</v>
      </c>
      <c r="C108" t="str">
        <f t="shared" ca="1" si="16"/>
        <v>V3</v>
      </c>
      <c r="D108">
        <f t="shared" ca="1" si="17"/>
        <v>30</v>
      </c>
      <c r="E108">
        <f t="shared" ca="1" si="18"/>
        <v>21</v>
      </c>
      <c r="F108">
        <f t="shared" ca="1" si="19"/>
        <v>6</v>
      </c>
      <c r="G108">
        <f t="shared" ca="1" si="20"/>
        <v>0.2857142857142857</v>
      </c>
      <c r="H108">
        <f t="shared" ca="1" si="21"/>
        <v>0</v>
      </c>
      <c r="I108">
        <f t="shared" ca="1" si="22"/>
        <v>0</v>
      </c>
      <c r="J108">
        <f t="shared" ca="1" si="23"/>
        <v>0</v>
      </c>
      <c r="K108">
        <f t="shared" ca="1" si="24"/>
        <v>0</v>
      </c>
      <c r="L108">
        <f t="shared" ca="1" si="25"/>
        <v>0</v>
      </c>
      <c r="M108">
        <f t="shared" ca="1" si="26"/>
        <v>1</v>
      </c>
      <c r="N108" t="str">
        <f t="shared" ca="1" si="27"/>
        <v>Medium</v>
      </c>
    </row>
    <row r="109" spans="1:14" x14ac:dyDescent="0.25">
      <c r="A109">
        <f t="shared" si="14"/>
        <v>108</v>
      </c>
      <c r="B109">
        <f t="shared" si="15"/>
        <v>1109</v>
      </c>
      <c r="C109" t="str">
        <f t="shared" ca="1" si="16"/>
        <v>V1</v>
      </c>
      <c r="D109">
        <f t="shared" ca="1" si="17"/>
        <v>60</v>
      </c>
      <c r="E109">
        <f t="shared" ca="1" si="18"/>
        <v>54</v>
      </c>
      <c r="F109">
        <f t="shared" ca="1" si="19"/>
        <v>1</v>
      </c>
      <c r="G109">
        <f t="shared" ca="1" si="20"/>
        <v>1.8518518518518517E-2</v>
      </c>
      <c r="H109">
        <f t="shared" ca="1" si="21"/>
        <v>4</v>
      </c>
      <c r="I109">
        <f t="shared" ca="1" si="22"/>
        <v>1</v>
      </c>
      <c r="J109">
        <f t="shared" ca="1" si="23"/>
        <v>1</v>
      </c>
      <c r="K109">
        <f t="shared" ca="1" si="24"/>
        <v>0</v>
      </c>
      <c r="L109">
        <f t="shared" ca="1" si="25"/>
        <v>0</v>
      </c>
      <c r="M109">
        <f t="shared" ca="1" si="26"/>
        <v>0</v>
      </c>
      <c r="N109" t="str">
        <f t="shared" ca="1" si="27"/>
        <v>Low</v>
      </c>
    </row>
    <row r="110" spans="1:14" x14ac:dyDescent="0.25">
      <c r="A110">
        <f t="shared" si="14"/>
        <v>109</v>
      </c>
      <c r="B110">
        <f t="shared" si="15"/>
        <v>1110</v>
      </c>
      <c r="C110" t="str">
        <f t="shared" ca="1" si="16"/>
        <v>V1</v>
      </c>
      <c r="D110">
        <f t="shared" ca="1" si="17"/>
        <v>45</v>
      </c>
      <c r="E110">
        <f t="shared" ca="1" si="18"/>
        <v>43</v>
      </c>
      <c r="F110">
        <f t="shared" ca="1" si="19"/>
        <v>3</v>
      </c>
      <c r="G110">
        <f t="shared" ca="1" si="20"/>
        <v>6.9767441860465115E-2</v>
      </c>
      <c r="H110">
        <f t="shared" ca="1" si="21"/>
        <v>2</v>
      </c>
      <c r="I110">
        <f t="shared" ca="1" si="22"/>
        <v>4</v>
      </c>
      <c r="J110">
        <f t="shared" ca="1" si="23"/>
        <v>0</v>
      </c>
      <c r="K110">
        <f t="shared" ca="1" si="24"/>
        <v>1</v>
      </c>
      <c r="L110">
        <f t="shared" ca="1" si="25"/>
        <v>0</v>
      </c>
      <c r="M110">
        <f t="shared" ca="1" si="26"/>
        <v>1</v>
      </c>
      <c r="N110" t="str">
        <f t="shared" ca="1" si="27"/>
        <v>Low</v>
      </c>
    </row>
    <row r="111" spans="1:14" x14ac:dyDescent="0.25">
      <c r="A111">
        <f t="shared" si="14"/>
        <v>110</v>
      </c>
      <c r="B111">
        <f t="shared" si="15"/>
        <v>1111</v>
      </c>
      <c r="C111" t="str">
        <f t="shared" ca="1" si="16"/>
        <v>V3</v>
      </c>
      <c r="D111">
        <f t="shared" ca="1" si="17"/>
        <v>30</v>
      </c>
      <c r="E111">
        <f t="shared" ca="1" si="18"/>
        <v>23</v>
      </c>
      <c r="F111">
        <f t="shared" ca="1" si="19"/>
        <v>4</v>
      </c>
      <c r="G111">
        <f t="shared" ca="1" si="20"/>
        <v>0.17391304347826086</v>
      </c>
      <c r="H111">
        <f t="shared" ca="1" si="21"/>
        <v>2</v>
      </c>
      <c r="I111">
        <f t="shared" ca="1" si="22"/>
        <v>4</v>
      </c>
      <c r="J111">
        <f t="shared" ca="1" si="23"/>
        <v>0</v>
      </c>
      <c r="K111">
        <f t="shared" ca="1" si="24"/>
        <v>0</v>
      </c>
      <c r="L111">
        <f t="shared" ca="1" si="25"/>
        <v>0</v>
      </c>
      <c r="M111">
        <f t="shared" ca="1" si="26"/>
        <v>1</v>
      </c>
      <c r="N111" t="str">
        <f t="shared" ca="1" si="27"/>
        <v>Low</v>
      </c>
    </row>
    <row r="112" spans="1:14" x14ac:dyDescent="0.25">
      <c r="A112">
        <f t="shared" si="14"/>
        <v>111</v>
      </c>
      <c r="B112">
        <f t="shared" si="15"/>
        <v>1112</v>
      </c>
      <c r="C112" t="str">
        <f t="shared" ca="1" si="16"/>
        <v>V3</v>
      </c>
      <c r="D112">
        <f t="shared" ca="1" si="17"/>
        <v>45</v>
      </c>
      <c r="E112">
        <f t="shared" ca="1" si="18"/>
        <v>37</v>
      </c>
      <c r="F112">
        <f t="shared" ca="1" si="19"/>
        <v>5</v>
      </c>
      <c r="G112">
        <f t="shared" ca="1" si="20"/>
        <v>0.13513513513513514</v>
      </c>
      <c r="H112">
        <f t="shared" ca="1" si="21"/>
        <v>3</v>
      </c>
      <c r="I112">
        <f t="shared" ca="1" si="22"/>
        <v>0</v>
      </c>
      <c r="J112">
        <f t="shared" ca="1" si="23"/>
        <v>0</v>
      </c>
      <c r="K112">
        <f t="shared" ca="1" si="24"/>
        <v>0</v>
      </c>
      <c r="L112">
        <f t="shared" ca="1" si="25"/>
        <v>0</v>
      </c>
      <c r="M112">
        <f t="shared" ca="1" si="26"/>
        <v>0</v>
      </c>
      <c r="N112" t="str">
        <f t="shared" ca="1" si="27"/>
        <v>Low</v>
      </c>
    </row>
    <row r="113" spans="1:14" x14ac:dyDescent="0.25">
      <c r="A113">
        <f t="shared" si="14"/>
        <v>112</v>
      </c>
      <c r="B113">
        <f t="shared" si="15"/>
        <v>1113</v>
      </c>
      <c r="C113" t="str">
        <f t="shared" ca="1" si="16"/>
        <v>V1</v>
      </c>
      <c r="D113">
        <f t="shared" ca="1" si="17"/>
        <v>45</v>
      </c>
      <c r="E113">
        <f t="shared" ca="1" si="18"/>
        <v>34</v>
      </c>
      <c r="F113">
        <f t="shared" ca="1" si="19"/>
        <v>3</v>
      </c>
      <c r="G113">
        <f t="shared" ca="1" si="20"/>
        <v>8.8235294117647065E-2</v>
      </c>
      <c r="H113">
        <f t="shared" ca="1" si="21"/>
        <v>1</v>
      </c>
      <c r="I113">
        <f t="shared" ca="1" si="22"/>
        <v>2</v>
      </c>
      <c r="J113">
        <f t="shared" ca="1" si="23"/>
        <v>0</v>
      </c>
      <c r="K113">
        <f t="shared" ca="1" si="24"/>
        <v>0</v>
      </c>
      <c r="L113">
        <f t="shared" ca="1" si="25"/>
        <v>0</v>
      </c>
      <c r="M113">
        <f t="shared" ca="1" si="26"/>
        <v>1</v>
      </c>
      <c r="N113" t="str">
        <f t="shared" ca="1" si="27"/>
        <v>Low</v>
      </c>
    </row>
    <row r="114" spans="1:14" x14ac:dyDescent="0.25">
      <c r="A114">
        <f t="shared" si="14"/>
        <v>113</v>
      </c>
      <c r="B114">
        <f t="shared" si="15"/>
        <v>1114</v>
      </c>
      <c r="C114" t="str">
        <f t="shared" ca="1" si="16"/>
        <v>V1</v>
      </c>
      <c r="D114">
        <f t="shared" ca="1" si="17"/>
        <v>45</v>
      </c>
      <c r="E114">
        <f t="shared" ca="1" si="18"/>
        <v>43</v>
      </c>
      <c r="F114">
        <f t="shared" ca="1" si="19"/>
        <v>6</v>
      </c>
      <c r="G114">
        <f t="shared" ca="1" si="20"/>
        <v>0.13953488372093023</v>
      </c>
      <c r="H114">
        <f t="shared" ca="1" si="21"/>
        <v>4</v>
      </c>
      <c r="I114">
        <f t="shared" ca="1" si="22"/>
        <v>0</v>
      </c>
      <c r="J114">
        <f t="shared" ca="1" si="23"/>
        <v>0</v>
      </c>
      <c r="K114">
        <f t="shared" ca="1" si="24"/>
        <v>1</v>
      </c>
      <c r="L114">
        <f t="shared" ca="1" si="25"/>
        <v>0</v>
      </c>
      <c r="M114">
        <f t="shared" ca="1" si="26"/>
        <v>1</v>
      </c>
      <c r="N114" t="str">
        <f t="shared" ca="1" si="27"/>
        <v>Low</v>
      </c>
    </row>
    <row r="115" spans="1:14" x14ac:dyDescent="0.25">
      <c r="A115">
        <f t="shared" si="14"/>
        <v>114</v>
      </c>
      <c r="B115">
        <f t="shared" si="15"/>
        <v>1115</v>
      </c>
      <c r="C115" t="str">
        <f t="shared" ca="1" si="16"/>
        <v>V2</v>
      </c>
      <c r="D115">
        <f t="shared" ca="1" si="17"/>
        <v>45</v>
      </c>
      <c r="E115">
        <f t="shared" ca="1" si="18"/>
        <v>45</v>
      </c>
      <c r="F115">
        <f t="shared" ca="1" si="19"/>
        <v>6</v>
      </c>
      <c r="G115">
        <f t="shared" ca="1" si="20"/>
        <v>0.13333333333333333</v>
      </c>
      <c r="H115">
        <f t="shared" ca="1" si="21"/>
        <v>3</v>
      </c>
      <c r="I115">
        <f t="shared" ca="1" si="22"/>
        <v>4</v>
      </c>
      <c r="J115">
        <f t="shared" ca="1" si="23"/>
        <v>1</v>
      </c>
      <c r="K115">
        <f t="shared" ca="1" si="24"/>
        <v>1</v>
      </c>
      <c r="L115">
        <f t="shared" ca="1" si="25"/>
        <v>0</v>
      </c>
      <c r="M115">
        <f t="shared" ca="1" si="26"/>
        <v>1</v>
      </c>
      <c r="N115" t="str">
        <f t="shared" ca="1" si="27"/>
        <v>Low</v>
      </c>
    </row>
    <row r="116" spans="1:14" x14ac:dyDescent="0.25">
      <c r="A116">
        <f t="shared" si="14"/>
        <v>115</v>
      </c>
      <c r="B116">
        <f t="shared" si="15"/>
        <v>1116</v>
      </c>
      <c r="C116" t="str">
        <f t="shared" ca="1" si="16"/>
        <v>V3</v>
      </c>
      <c r="D116">
        <f t="shared" ca="1" si="17"/>
        <v>60</v>
      </c>
      <c r="E116">
        <f t="shared" ca="1" si="18"/>
        <v>27</v>
      </c>
      <c r="F116">
        <f t="shared" ca="1" si="19"/>
        <v>2</v>
      </c>
      <c r="G116">
        <f t="shared" ca="1" si="20"/>
        <v>7.407407407407407E-2</v>
      </c>
      <c r="H116">
        <f t="shared" ca="1" si="21"/>
        <v>3</v>
      </c>
      <c r="I116">
        <f t="shared" ca="1" si="22"/>
        <v>0</v>
      </c>
      <c r="J116">
        <f t="shared" ca="1" si="23"/>
        <v>0</v>
      </c>
      <c r="K116">
        <f t="shared" ca="1" si="24"/>
        <v>0</v>
      </c>
      <c r="L116">
        <f t="shared" ca="1" si="25"/>
        <v>0</v>
      </c>
      <c r="M116">
        <f t="shared" ca="1" si="26"/>
        <v>0</v>
      </c>
      <c r="N116" t="str">
        <f t="shared" ca="1" si="27"/>
        <v>Low</v>
      </c>
    </row>
    <row r="117" spans="1:14" x14ac:dyDescent="0.25">
      <c r="A117">
        <f t="shared" si="14"/>
        <v>116</v>
      </c>
      <c r="B117">
        <f t="shared" si="15"/>
        <v>1117</v>
      </c>
      <c r="C117" t="str">
        <f t="shared" ca="1" si="16"/>
        <v>V1</v>
      </c>
      <c r="D117">
        <f t="shared" ca="1" si="17"/>
        <v>45</v>
      </c>
      <c r="E117">
        <f t="shared" ca="1" si="18"/>
        <v>19</v>
      </c>
      <c r="F117">
        <f t="shared" ca="1" si="19"/>
        <v>8</v>
      </c>
      <c r="G117">
        <f t="shared" ca="1" si="20"/>
        <v>0.42105263157894735</v>
      </c>
      <c r="H117">
        <f t="shared" ca="1" si="21"/>
        <v>0</v>
      </c>
      <c r="I117">
        <f t="shared" ca="1" si="22"/>
        <v>2</v>
      </c>
      <c r="J117">
        <f t="shared" ca="1" si="23"/>
        <v>0</v>
      </c>
      <c r="K117">
        <f t="shared" ca="1" si="24"/>
        <v>0</v>
      </c>
      <c r="L117">
        <f t="shared" ca="1" si="25"/>
        <v>1</v>
      </c>
      <c r="M117">
        <f t="shared" ca="1" si="26"/>
        <v>1</v>
      </c>
      <c r="N117" t="str">
        <f t="shared" ca="1" si="27"/>
        <v>Medium</v>
      </c>
    </row>
    <row r="118" spans="1:14" x14ac:dyDescent="0.25">
      <c r="A118">
        <f t="shared" si="14"/>
        <v>117</v>
      </c>
      <c r="B118">
        <f t="shared" si="15"/>
        <v>1118</v>
      </c>
      <c r="C118" t="str">
        <f t="shared" ca="1" si="16"/>
        <v>V3</v>
      </c>
      <c r="D118">
        <f t="shared" ca="1" si="17"/>
        <v>45</v>
      </c>
      <c r="E118">
        <f t="shared" ca="1" si="18"/>
        <v>23</v>
      </c>
      <c r="F118">
        <f t="shared" ca="1" si="19"/>
        <v>8</v>
      </c>
      <c r="G118">
        <f t="shared" ca="1" si="20"/>
        <v>0.34782608695652173</v>
      </c>
      <c r="H118">
        <f t="shared" ca="1" si="21"/>
        <v>0</v>
      </c>
      <c r="I118">
        <f t="shared" ca="1" si="22"/>
        <v>3</v>
      </c>
      <c r="J118">
        <f t="shared" ca="1" si="23"/>
        <v>1</v>
      </c>
      <c r="K118">
        <f t="shared" ca="1" si="24"/>
        <v>0</v>
      </c>
      <c r="L118">
        <f t="shared" ca="1" si="25"/>
        <v>1</v>
      </c>
      <c r="M118">
        <f t="shared" ca="1" si="26"/>
        <v>1</v>
      </c>
      <c r="N118" t="str">
        <f t="shared" ca="1" si="27"/>
        <v>Medium</v>
      </c>
    </row>
    <row r="119" spans="1:14" x14ac:dyDescent="0.25">
      <c r="A119">
        <f t="shared" si="14"/>
        <v>118</v>
      </c>
      <c r="B119">
        <f t="shared" si="15"/>
        <v>1119</v>
      </c>
      <c r="C119" t="str">
        <f t="shared" ca="1" si="16"/>
        <v>V2</v>
      </c>
      <c r="D119">
        <f t="shared" ca="1" si="17"/>
        <v>30</v>
      </c>
      <c r="E119">
        <f t="shared" ca="1" si="18"/>
        <v>25</v>
      </c>
      <c r="F119">
        <f t="shared" ca="1" si="19"/>
        <v>3</v>
      </c>
      <c r="G119">
        <f t="shared" ca="1" si="20"/>
        <v>0.12</v>
      </c>
      <c r="H119">
        <f t="shared" ca="1" si="21"/>
        <v>5</v>
      </c>
      <c r="I119">
        <f t="shared" ca="1" si="22"/>
        <v>3</v>
      </c>
      <c r="J119">
        <f t="shared" ca="1" si="23"/>
        <v>1</v>
      </c>
      <c r="K119">
        <f t="shared" ca="1" si="24"/>
        <v>0</v>
      </c>
      <c r="L119">
        <f t="shared" ca="1" si="25"/>
        <v>0</v>
      </c>
      <c r="M119">
        <f t="shared" ca="1" si="26"/>
        <v>0</v>
      </c>
      <c r="N119" t="str">
        <f t="shared" ca="1" si="27"/>
        <v>Low</v>
      </c>
    </row>
    <row r="120" spans="1:14" x14ac:dyDescent="0.25">
      <c r="A120">
        <f t="shared" si="14"/>
        <v>119</v>
      </c>
      <c r="B120">
        <f t="shared" si="15"/>
        <v>1120</v>
      </c>
      <c r="C120" t="str">
        <f t="shared" ca="1" si="16"/>
        <v>V3</v>
      </c>
      <c r="D120">
        <f t="shared" ca="1" si="17"/>
        <v>60</v>
      </c>
      <c r="E120">
        <f t="shared" ca="1" si="18"/>
        <v>44</v>
      </c>
      <c r="F120">
        <f t="shared" ca="1" si="19"/>
        <v>4</v>
      </c>
      <c r="G120">
        <f t="shared" ca="1" si="20"/>
        <v>9.0909090909090912E-2</v>
      </c>
      <c r="H120">
        <f t="shared" ca="1" si="21"/>
        <v>2</v>
      </c>
      <c r="I120">
        <f t="shared" ca="1" si="22"/>
        <v>3</v>
      </c>
      <c r="J120">
        <f t="shared" ca="1" si="23"/>
        <v>1</v>
      </c>
      <c r="K120">
        <f t="shared" ca="1" si="24"/>
        <v>0</v>
      </c>
      <c r="L120">
        <f t="shared" ca="1" si="25"/>
        <v>0</v>
      </c>
      <c r="M120">
        <f t="shared" ca="1" si="26"/>
        <v>1</v>
      </c>
      <c r="N120" t="str">
        <f t="shared" ca="1" si="27"/>
        <v>Low</v>
      </c>
    </row>
    <row r="121" spans="1:14" x14ac:dyDescent="0.25">
      <c r="A121">
        <f t="shared" si="14"/>
        <v>120</v>
      </c>
      <c r="B121">
        <f t="shared" si="15"/>
        <v>1121</v>
      </c>
      <c r="C121" t="str">
        <f t="shared" ca="1" si="16"/>
        <v>V1</v>
      </c>
      <c r="D121">
        <f t="shared" ca="1" si="17"/>
        <v>30</v>
      </c>
      <c r="E121">
        <f t="shared" ca="1" si="18"/>
        <v>19</v>
      </c>
      <c r="F121">
        <f t="shared" ca="1" si="19"/>
        <v>8</v>
      </c>
      <c r="G121">
        <f t="shared" ca="1" si="20"/>
        <v>0.42105263157894735</v>
      </c>
      <c r="H121">
        <f t="shared" ca="1" si="21"/>
        <v>6</v>
      </c>
      <c r="I121">
        <f t="shared" ca="1" si="22"/>
        <v>3</v>
      </c>
      <c r="J121">
        <f t="shared" ca="1" si="23"/>
        <v>1</v>
      </c>
      <c r="K121">
        <f t="shared" ca="1" si="24"/>
        <v>0</v>
      </c>
      <c r="L121">
        <f t="shared" ca="1" si="25"/>
        <v>0</v>
      </c>
      <c r="M121">
        <f t="shared" ca="1" si="26"/>
        <v>0</v>
      </c>
      <c r="N121" t="str">
        <f t="shared" ca="1" si="27"/>
        <v>Medium</v>
      </c>
    </row>
    <row r="122" spans="1:14" x14ac:dyDescent="0.25">
      <c r="A122">
        <f t="shared" si="14"/>
        <v>121</v>
      </c>
      <c r="B122">
        <f t="shared" si="15"/>
        <v>1122</v>
      </c>
      <c r="C122" t="str">
        <f t="shared" ca="1" si="16"/>
        <v>V2</v>
      </c>
      <c r="D122">
        <f t="shared" ca="1" si="17"/>
        <v>60</v>
      </c>
      <c r="E122">
        <f t="shared" ca="1" si="18"/>
        <v>29</v>
      </c>
      <c r="F122">
        <f t="shared" ca="1" si="19"/>
        <v>2</v>
      </c>
      <c r="G122">
        <f t="shared" ca="1" si="20"/>
        <v>6.8965517241379309E-2</v>
      </c>
      <c r="H122">
        <f t="shared" ca="1" si="21"/>
        <v>2</v>
      </c>
      <c r="I122">
        <f t="shared" ca="1" si="22"/>
        <v>1</v>
      </c>
      <c r="J122">
        <f t="shared" ca="1" si="23"/>
        <v>1</v>
      </c>
      <c r="K122">
        <f t="shared" ca="1" si="24"/>
        <v>0</v>
      </c>
      <c r="L122">
        <f t="shared" ca="1" si="25"/>
        <v>0</v>
      </c>
      <c r="M122">
        <f t="shared" ca="1" si="26"/>
        <v>1</v>
      </c>
      <c r="N122" t="str">
        <f t="shared" ca="1" si="27"/>
        <v>Low</v>
      </c>
    </row>
    <row r="123" spans="1:14" x14ac:dyDescent="0.25">
      <c r="A123">
        <f t="shared" si="14"/>
        <v>122</v>
      </c>
      <c r="B123">
        <f t="shared" si="15"/>
        <v>1123</v>
      </c>
      <c r="C123" t="str">
        <f t="shared" ca="1" si="16"/>
        <v>V3</v>
      </c>
      <c r="D123">
        <f t="shared" ca="1" si="17"/>
        <v>60</v>
      </c>
      <c r="E123">
        <f t="shared" ca="1" si="18"/>
        <v>59</v>
      </c>
      <c r="F123">
        <f t="shared" ca="1" si="19"/>
        <v>3</v>
      </c>
      <c r="G123">
        <f t="shared" ca="1" si="20"/>
        <v>5.0847457627118647E-2</v>
      </c>
      <c r="H123">
        <f t="shared" ca="1" si="21"/>
        <v>2</v>
      </c>
      <c r="I123">
        <f t="shared" ca="1" si="22"/>
        <v>2</v>
      </c>
      <c r="J123">
        <f t="shared" ca="1" si="23"/>
        <v>1</v>
      </c>
      <c r="K123">
        <f t="shared" ca="1" si="24"/>
        <v>1</v>
      </c>
      <c r="L123">
        <f t="shared" ca="1" si="25"/>
        <v>0</v>
      </c>
      <c r="M123">
        <f t="shared" ca="1" si="26"/>
        <v>1</v>
      </c>
      <c r="N123" t="str">
        <f t="shared" ca="1" si="27"/>
        <v>Low</v>
      </c>
    </row>
    <row r="124" spans="1:14" x14ac:dyDescent="0.25">
      <c r="A124">
        <f t="shared" si="14"/>
        <v>123</v>
      </c>
      <c r="B124">
        <f t="shared" si="15"/>
        <v>1124</v>
      </c>
      <c r="C124" t="str">
        <f t="shared" ca="1" si="16"/>
        <v>V2</v>
      </c>
      <c r="D124">
        <f t="shared" ca="1" si="17"/>
        <v>60</v>
      </c>
      <c r="E124">
        <f t="shared" ca="1" si="18"/>
        <v>60</v>
      </c>
      <c r="F124">
        <f t="shared" ca="1" si="19"/>
        <v>3</v>
      </c>
      <c r="G124">
        <f t="shared" ca="1" si="20"/>
        <v>0.05</v>
      </c>
      <c r="H124">
        <f t="shared" ca="1" si="21"/>
        <v>6</v>
      </c>
      <c r="I124">
        <f t="shared" ca="1" si="22"/>
        <v>3</v>
      </c>
      <c r="J124">
        <f t="shared" ca="1" si="23"/>
        <v>1</v>
      </c>
      <c r="K124">
        <f t="shared" ca="1" si="24"/>
        <v>1</v>
      </c>
      <c r="L124">
        <f t="shared" ca="1" si="25"/>
        <v>0</v>
      </c>
      <c r="M124">
        <f t="shared" ca="1" si="26"/>
        <v>0</v>
      </c>
      <c r="N124" t="str">
        <f t="shared" ca="1" si="27"/>
        <v>Low</v>
      </c>
    </row>
    <row r="125" spans="1:14" x14ac:dyDescent="0.25">
      <c r="A125">
        <f t="shared" si="14"/>
        <v>124</v>
      </c>
      <c r="B125">
        <f t="shared" si="15"/>
        <v>1125</v>
      </c>
      <c r="C125" t="str">
        <f t="shared" ca="1" si="16"/>
        <v>V1</v>
      </c>
      <c r="D125">
        <f t="shared" ca="1" si="17"/>
        <v>30</v>
      </c>
      <c r="E125">
        <f t="shared" ca="1" si="18"/>
        <v>20</v>
      </c>
      <c r="F125">
        <f t="shared" ca="1" si="19"/>
        <v>5</v>
      </c>
      <c r="G125">
        <f t="shared" ca="1" si="20"/>
        <v>0.25</v>
      </c>
      <c r="H125">
        <f t="shared" ca="1" si="21"/>
        <v>6</v>
      </c>
      <c r="I125">
        <f t="shared" ca="1" si="22"/>
        <v>1</v>
      </c>
      <c r="J125">
        <f t="shared" ca="1" si="23"/>
        <v>0</v>
      </c>
      <c r="K125">
        <f t="shared" ca="1" si="24"/>
        <v>0</v>
      </c>
      <c r="L125">
        <f t="shared" ca="1" si="25"/>
        <v>0</v>
      </c>
      <c r="M125">
        <f t="shared" ca="1" si="26"/>
        <v>0</v>
      </c>
      <c r="N125" t="str">
        <f t="shared" ca="1" si="27"/>
        <v>Medium</v>
      </c>
    </row>
    <row r="126" spans="1:14" x14ac:dyDescent="0.25">
      <c r="A126">
        <f t="shared" si="14"/>
        <v>125</v>
      </c>
      <c r="B126">
        <f t="shared" si="15"/>
        <v>1126</v>
      </c>
      <c r="C126" t="str">
        <f t="shared" ca="1" si="16"/>
        <v>V1</v>
      </c>
      <c r="D126">
        <f t="shared" ca="1" si="17"/>
        <v>30</v>
      </c>
      <c r="E126">
        <f t="shared" ca="1" si="18"/>
        <v>24</v>
      </c>
      <c r="F126">
        <f t="shared" ca="1" si="19"/>
        <v>7</v>
      </c>
      <c r="G126">
        <f t="shared" ca="1" si="20"/>
        <v>0.29166666666666669</v>
      </c>
      <c r="H126">
        <f t="shared" ca="1" si="21"/>
        <v>5</v>
      </c>
      <c r="I126">
        <f t="shared" ca="1" si="22"/>
        <v>4</v>
      </c>
      <c r="J126">
        <f t="shared" ca="1" si="23"/>
        <v>1</v>
      </c>
      <c r="K126">
        <f t="shared" ca="1" si="24"/>
        <v>0</v>
      </c>
      <c r="L126">
        <f t="shared" ca="1" si="25"/>
        <v>0</v>
      </c>
      <c r="M126">
        <f t="shared" ca="1" si="26"/>
        <v>1</v>
      </c>
      <c r="N126" t="str">
        <f t="shared" ca="1" si="27"/>
        <v>Medium</v>
      </c>
    </row>
    <row r="127" spans="1:14" x14ac:dyDescent="0.25">
      <c r="A127">
        <f t="shared" si="14"/>
        <v>126</v>
      </c>
      <c r="B127">
        <f t="shared" si="15"/>
        <v>1127</v>
      </c>
      <c r="C127" t="str">
        <f t="shared" ca="1" si="16"/>
        <v>V1</v>
      </c>
      <c r="D127">
        <f t="shared" ca="1" si="17"/>
        <v>45</v>
      </c>
      <c r="E127">
        <f t="shared" ca="1" si="18"/>
        <v>35</v>
      </c>
      <c r="F127">
        <f t="shared" ca="1" si="19"/>
        <v>6</v>
      </c>
      <c r="G127">
        <f t="shared" ca="1" si="20"/>
        <v>0.17142857142857143</v>
      </c>
      <c r="H127">
        <f t="shared" ca="1" si="21"/>
        <v>0</v>
      </c>
      <c r="I127">
        <f t="shared" ca="1" si="22"/>
        <v>3</v>
      </c>
      <c r="J127">
        <f t="shared" ca="1" si="23"/>
        <v>0</v>
      </c>
      <c r="K127">
        <f t="shared" ca="1" si="24"/>
        <v>0</v>
      </c>
      <c r="L127">
        <f t="shared" ca="1" si="25"/>
        <v>0</v>
      </c>
      <c r="M127">
        <f t="shared" ca="1" si="26"/>
        <v>1</v>
      </c>
      <c r="N127" t="str">
        <f t="shared" ca="1" si="27"/>
        <v>Low</v>
      </c>
    </row>
    <row r="128" spans="1:14" x14ac:dyDescent="0.25">
      <c r="A128">
        <f t="shared" si="14"/>
        <v>127</v>
      </c>
      <c r="B128">
        <f t="shared" si="15"/>
        <v>1128</v>
      </c>
      <c r="C128" t="str">
        <f t="shared" ca="1" si="16"/>
        <v>V3</v>
      </c>
      <c r="D128">
        <f t="shared" ca="1" si="17"/>
        <v>60</v>
      </c>
      <c r="E128">
        <f t="shared" ca="1" si="18"/>
        <v>40</v>
      </c>
      <c r="F128">
        <f t="shared" ca="1" si="19"/>
        <v>2</v>
      </c>
      <c r="G128">
        <f t="shared" ca="1" si="20"/>
        <v>0.05</v>
      </c>
      <c r="H128">
        <f t="shared" ca="1" si="21"/>
        <v>0</v>
      </c>
      <c r="I128">
        <f t="shared" ca="1" si="22"/>
        <v>4</v>
      </c>
      <c r="J128">
        <f t="shared" ca="1" si="23"/>
        <v>1</v>
      </c>
      <c r="K128">
        <f t="shared" ca="1" si="24"/>
        <v>0</v>
      </c>
      <c r="L128">
        <f t="shared" ca="1" si="25"/>
        <v>0</v>
      </c>
      <c r="M128">
        <f t="shared" ca="1" si="26"/>
        <v>1</v>
      </c>
      <c r="N128" t="str">
        <f t="shared" ca="1" si="27"/>
        <v>Low</v>
      </c>
    </row>
    <row r="129" spans="1:14" x14ac:dyDescent="0.25">
      <c r="A129">
        <f t="shared" si="14"/>
        <v>128</v>
      </c>
      <c r="B129">
        <f t="shared" si="15"/>
        <v>1129</v>
      </c>
      <c r="C129" t="str">
        <f t="shared" ca="1" si="16"/>
        <v>V2</v>
      </c>
      <c r="D129">
        <f t="shared" ca="1" si="17"/>
        <v>60</v>
      </c>
      <c r="E129">
        <f t="shared" ca="1" si="18"/>
        <v>49</v>
      </c>
      <c r="F129">
        <f t="shared" ca="1" si="19"/>
        <v>1</v>
      </c>
      <c r="G129">
        <f t="shared" ca="1" si="20"/>
        <v>2.0408163265306121E-2</v>
      </c>
      <c r="H129">
        <f t="shared" ca="1" si="21"/>
        <v>3</v>
      </c>
      <c r="I129">
        <f t="shared" ca="1" si="22"/>
        <v>1</v>
      </c>
      <c r="J129">
        <f t="shared" ca="1" si="23"/>
        <v>1</v>
      </c>
      <c r="K129">
        <f t="shared" ca="1" si="24"/>
        <v>0</v>
      </c>
      <c r="L129">
        <f t="shared" ca="1" si="25"/>
        <v>0</v>
      </c>
      <c r="M129">
        <f t="shared" ca="1" si="26"/>
        <v>0</v>
      </c>
      <c r="N129" t="str">
        <f t="shared" ca="1" si="27"/>
        <v>Low</v>
      </c>
    </row>
    <row r="130" spans="1:14" x14ac:dyDescent="0.25">
      <c r="A130">
        <f t="shared" si="14"/>
        <v>129</v>
      </c>
      <c r="B130">
        <f t="shared" si="15"/>
        <v>1130</v>
      </c>
      <c r="C130" t="str">
        <f t="shared" ca="1" si="16"/>
        <v>V2</v>
      </c>
      <c r="D130">
        <f t="shared" ca="1" si="17"/>
        <v>45</v>
      </c>
      <c r="E130">
        <f t="shared" ca="1" si="18"/>
        <v>18</v>
      </c>
      <c r="F130">
        <f t="shared" ca="1" si="19"/>
        <v>6</v>
      </c>
      <c r="G130">
        <f t="shared" ca="1" si="20"/>
        <v>0.33333333333333331</v>
      </c>
      <c r="H130">
        <f t="shared" ca="1" si="21"/>
        <v>3</v>
      </c>
      <c r="I130">
        <f t="shared" ca="1" si="22"/>
        <v>3</v>
      </c>
      <c r="J130">
        <f t="shared" ca="1" si="23"/>
        <v>0</v>
      </c>
      <c r="K130">
        <f t="shared" ca="1" si="24"/>
        <v>0</v>
      </c>
      <c r="L130">
        <f t="shared" ca="1" si="25"/>
        <v>1</v>
      </c>
      <c r="M130">
        <f t="shared" ca="1" si="26"/>
        <v>1</v>
      </c>
      <c r="N130" t="str">
        <f t="shared" ca="1" si="27"/>
        <v>Medium</v>
      </c>
    </row>
    <row r="131" spans="1:14" x14ac:dyDescent="0.25">
      <c r="A131">
        <f t="shared" ref="A131:A194" si="28">ROW()-1</f>
        <v>130</v>
      </c>
      <c r="B131">
        <f t="shared" ref="B131:B194" si="29">1000 + ROW()</f>
        <v>1131</v>
      </c>
      <c r="C131" t="str">
        <f t="shared" ref="C131:C194" ca="1" si="30">CHOOSE(RANDBETWEEN(1,3),"V1","V2","V3")</f>
        <v>V2</v>
      </c>
      <c r="D131">
        <f t="shared" ref="D131:D194" ca="1" si="31">CHOOSE(RANDBETWEEN(1,3),30,45,60)</f>
        <v>45</v>
      </c>
      <c r="E131">
        <f t="shared" ref="E131:E194" ca="1" si="32">RANDBETWEEN(D131*0.4,D131)</f>
        <v>39</v>
      </c>
      <c r="F131">
        <f t="shared" ref="F131:F194" ca="1" si="33">RANDBETWEEN(1,8)</f>
        <v>3</v>
      </c>
      <c r="G131">
        <f t="shared" ref="G131:G194" ca="1" si="34">F131/E131</f>
        <v>7.6923076923076927E-2</v>
      </c>
      <c r="H131">
        <f t="shared" ref="H131:H194" ca="1" si="35">RANDBETWEEN(0,6)</f>
        <v>1</v>
      </c>
      <c r="I131">
        <f t="shared" ref="I131:I194" ca="1" si="36">RANDBETWEEN(0,4)</f>
        <v>1</v>
      </c>
      <c r="J131">
        <f t="shared" ref="J131:J194" ca="1" si="37">IF(I131&gt;0,RANDBETWEEN(0,1),0)</f>
        <v>0</v>
      </c>
      <c r="K131">
        <f t="shared" ref="K131:K194" ca="1" si="38">IF(E131/D131&gt;0.9,1,0)</f>
        <v>0</v>
      </c>
      <c r="L131">
        <f t="shared" ref="L131:L194" ca="1" si="39">IF(G131&gt;0.6,1,IF(G131&gt;0.3,RANDBETWEEN(0,1),0))</f>
        <v>0</v>
      </c>
      <c r="M131">
        <f t="shared" ref="M131:M194" ca="1" si="40">IF(H131&gt;=5, IF(RAND()&lt;0.1,1,0),
   IF(H131&gt;=3, IF(RAND()&lt;0.4,1,0),
      IF(H131&gt;=1, IF(RAND()&lt;0.7,1,0),
         1)))</f>
        <v>0</v>
      </c>
      <c r="N131" t="str">
        <f t="shared" ref="N131:N194" ca="1" si="41">IF(G131&lt;0.2,"Low",IF(G131&lt;=0.5,"Medium","High"))</f>
        <v>Low</v>
      </c>
    </row>
    <row r="132" spans="1:14" x14ac:dyDescent="0.25">
      <c r="A132">
        <f t="shared" si="28"/>
        <v>131</v>
      </c>
      <c r="B132">
        <f t="shared" si="29"/>
        <v>1132</v>
      </c>
      <c r="C132" t="str">
        <f t="shared" ca="1" si="30"/>
        <v>V1</v>
      </c>
      <c r="D132">
        <f t="shared" ca="1" si="31"/>
        <v>30</v>
      </c>
      <c r="E132">
        <f t="shared" ca="1" si="32"/>
        <v>18</v>
      </c>
      <c r="F132">
        <f t="shared" ca="1" si="33"/>
        <v>8</v>
      </c>
      <c r="G132">
        <f t="shared" ca="1" si="34"/>
        <v>0.44444444444444442</v>
      </c>
      <c r="H132">
        <f t="shared" ca="1" si="35"/>
        <v>3</v>
      </c>
      <c r="I132">
        <f t="shared" ca="1" si="36"/>
        <v>0</v>
      </c>
      <c r="J132">
        <f t="shared" ca="1" si="37"/>
        <v>0</v>
      </c>
      <c r="K132">
        <f t="shared" ca="1" si="38"/>
        <v>0</v>
      </c>
      <c r="L132">
        <f t="shared" ca="1" si="39"/>
        <v>0</v>
      </c>
      <c r="M132">
        <f t="shared" ca="1" si="40"/>
        <v>0</v>
      </c>
      <c r="N132" t="str">
        <f t="shared" ca="1" si="41"/>
        <v>Medium</v>
      </c>
    </row>
    <row r="133" spans="1:14" x14ac:dyDescent="0.25">
      <c r="A133">
        <f t="shared" si="28"/>
        <v>132</v>
      </c>
      <c r="B133">
        <f t="shared" si="29"/>
        <v>1133</v>
      </c>
      <c r="C133" t="str">
        <f t="shared" ca="1" si="30"/>
        <v>V2</v>
      </c>
      <c r="D133">
        <f t="shared" ca="1" si="31"/>
        <v>45</v>
      </c>
      <c r="E133">
        <f t="shared" ca="1" si="32"/>
        <v>25</v>
      </c>
      <c r="F133">
        <f t="shared" ca="1" si="33"/>
        <v>4</v>
      </c>
      <c r="G133">
        <f t="shared" ca="1" si="34"/>
        <v>0.16</v>
      </c>
      <c r="H133">
        <f t="shared" ca="1" si="35"/>
        <v>5</v>
      </c>
      <c r="I133">
        <f t="shared" ca="1" si="36"/>
        <v>2</v>
      </c>
      <c r="J133">
        <f t="shared" ca="1" si="37"/>
        <v>0</v>
      </c>
      <c r="K133">
        <f t="shared" ca="1" si="38"/>
        <v>0</v>
      </c>
      <c r="L133">
        <f t="shared" ca="1" si="39"/>
        <v>0</v>
      </c>
      <c r="M133">
        <f t="shared" ca="1" si="40"/>
        <v>0</v>
      </c>
      <c r="N133" t="str">
        <f t="shared" ca="1" si="41"/>
        <v>Low</v>
      </c>
    </row>
    <row r="134" spans="1:14" x14ac:dyDescent="0.25">
      <c r="A134">
        <f t="shared" si="28"/>
        <v>133</v>
      </c>
      <c r="B134">
        <f t="shared" si="29"/>
        <v>1134</v>
      </c>
      <c r="C134" t="str">
        <f t="shared" ca="1" si="30"/>
        <v>V1</v>
      </c>
      <c r="D134">
        <f t="shared" ca="1" si="31"/>
        <v>45</v>
      </c>
      <c r="E134">
        <f t="shared" ca="1" si="32"/>
        <v>22</v>
      </c>
      <c r="F134">
        <f t="shared" ca="1" si="33"/>
        <v>6</v>
      </c>
      <c r="G134">
        <f t="shared" ca="1" si="34"/>
        <v>0.27272727272727271</v>
      </c>
      <c r="H134">
        <f t="shared" ca="1" si="35"/>
        <v>2</v>
      </c>
      <c r="I134">
        <f t="shared" ca="1" si="36"/>
        <v>2</v>
      </c>
      <c r="J134">
        <f t="shared" ca="1" si="37"/>
        <v>1</v>
      </c>
      <c r="K134">
        <f t="shared" ca="1" si="38"/>
        <v>0</v>
      </c>
      <c r="L134">
        <f t="shared" ca="1" si="39"/>
        <v>0</v>
      </c>
      <c r="M134">
        <f t="shared" ca="1" si="40"/>
        <v>1</v>
      </c>
      <c r="N134" t="str">
        <f t="shared" ca="1" si="41"/>
        <v>Medium</v>
      </c>
    </row>
    <row r="135" spans="1:14" x14ac:dyDescent="0.25">
      <c r="A135">
        <f t="shared" si="28"/>
        <v>134</v>
      </c>
      <c r="B135">
        <f t="shared" si="29"/>
        <v>1135</v>
      </c>
      <c r="C135" t="str">
        <f t="shared" ca="1" si="30"/>
        <v>V3</v>
      </c>
      <c r="D135">
        <f t="shared" ca="1" si="31"/>
        <v>60</v>
      </c>
      <c r="E135">
        <f t="shared" ca="1" si="32"/>
        <v>49</v>
      </c>
      <c r="F135">
        <f t="shared" ca="1" si="33"/>
        <v>4</v>
      </c>
      <c r="G135">
        <f t="shared" ca="1" si="34"/>
        <v>8.1632653061224483E-2</v>
      </c>
      <c r="H135">
        <f t="shared" ca="1" si="35"/>
        <v>6</v>
      </c>
      <c r="I135">
        <f t="shared" ca="1" si="36"/>
        <v>4</v>
      </c>
      <c r="J135">
        <f t="shared" ca="1" si="37"/>
        <v>0</v>
      </c>
      <c r="K135">
        <f t="shared" ca="1" si="38"/>
        <v>0</v>
      </c>
      <c r="L135">
        <f t="shared" ca="1" si="39"/>
        <v>0</v>
      </c>
      <c r="M135">
        <f t="shared" ca="1" si="40"/>
        <v>0</v>
      </c>
      <c r="N135" t="str">
        <f t="shared" ca="1" si="41"/>
        <v>Low</v>
      </c>
    </row>
    <row r="136" spans="1:14" x14ac:dyDescent="0.25">
      <c r="A136">
        <f t="shared" si="28"/>
        <v>135</v>
      </c>
      <c r="B136">
        <f t="shared" si="29"/>
        <v>1136</v>
      </c>
      <c r="C136" t="str">
        <f t="shared" ca="1" si="30"/>
        <v>V3</v>
      </c>
      <c r="D136">
        <f t="shared" ca="1" si="31"/>
        <v>45</v>
      </c>
      <c r="E136">
        <f t="shared" ca="1" si="32"/>
        <v>24</v>
      </c>
      <c r="F136">
        <f t="shared" ca="1" si="33"/>
        <v>1</v>
      </c>
      <c r="G136">
        <f t="shared" ca="1" si="34"/>
        <v>4.1666666666666664E-2</v>
      </c>
      <c r="H136">
        <f t="shared" ca="1" si="35"/>
        <v>5</v>
      </c>
      <c r="I136">
        <f t="shared" ca="1" si="36"/>
        <v>1</v>
      </c>
      <c r="J136">
        <f t="shared" ca="1" si="37"/>
        <v>0</v>
      </c>
      <c r="K136">
        <f t="shared" ca="1" si="38"/>
        <v>0</v>
      </c>
      <c r="L136">
        <f t="shared" ca="1" si="39"/>
        <v>0</v>
      </c>
      <c r="M136">
        <f t="shared" ca="1" si="40"/>
        <v>0</v>
      </c>
      <c r="N136" t="str">
        <f t="shared" ca="1" si="41"/>
        <v>Low</v>
      </c>
    </row>
    <row r="137" spans="1:14" x14ac:dyDescent="0.25">
      <c r="A137">
        <f t="shared" si="28"/>
        <v>136</v>
      </c>
      <c r="B137">
        <f t="shared" si="29"/>
        <v>1137</v>
      </c>
      <c r="C137" t="str">
        <f t="shared" ca="1" si="30"/>
        <v>V3</v>
      </c>
      <c r="D137">
        <f t="shared" ca="1" si="31"/>
        <v>60</v>
      </c>
      <c r="E137">
        <f t="shared" ca="1" si="32"/>
        <v>50</v>
      </c>
      <c r="F137">
        <f t="shared" ca="1" si="33"/>
        <v>1</v>
      </c>
      <c r="G137">
        <f t="shared" ca="1" si="34"/>
        <v>0.02</v>
      </c>
      <c r="H137">
        <f t="shared" ca="1" si="35"/>
        <v>2</v>
      </c>
      <c r="I137">
        <f t="shared" ca="1" si="36"/>
        <v>2</v>
      </c>
      <c r="J137">
        <f t="shared" ca="1" si="37"/>
        <v>1</v>
      </c>
      <c r="K137">
        <f t="shared" ca="1" si="38"/>
        <v>0</v>
      </c>
      <c r="L137">
        <f t="shared" ca="1" si="39"/>
        <v>0</v>
      </c>
      <c r="M137">
        <f t="shared" ca="1" si="40"/>
        <v>0</v>
      </c>
      <c r="N137" t="str">
        <f t="shared" ca="1" si="41"/>
        <v>Low</v>
      </c>
    </row>
    <row r="138" spans="1:14" x14ac:dyDescent="0.25">
      <c r="A138">
        <f t="shared" si="28"/>
        <v>137</v>
      </c>
      <c r="B138">
        <f t="shared" si="29"/>
        <v>1138</v>
      </c>
      <c r="C138" t="str">
        <f t="shared" ca="1" si="30"/>
        <v>V1</v>
      </c>
      <c r="D138">
        <f t="shared" ca="1" si="31"/>
        <v>30</v>
      </c>
      <c r="E138">
        <f t="shared" ca="1" si="32"/>
        <v>30</v>
      </c>
      <c r="F138">
        <f t="shared" ca="1" si="33"/>
        <v>3</v>
      </c>
      <c r="G138">
        <f t="shared" ca="1" si="34"/>
        <v>0.1</v>
      </c>
      <c r="H138">
        <f t="shared" ca="1" si="35"/>
        <v>4</v>
      </c>
      <c r="I138">
        <f t="shared" ca="1" si="36"/>
        <v>4</v>
      </c>
      <c r="J138">
        <f t="shared" ca="1" si="37"/>
        <v>0</v>
      </c>
      <c r="K138">
        <f t="shared" ca="1" si="38"/>
        <v>1</v>
      </c>
      <c r="L138">
        <f t="shared" ca="1" si="39"/>
        <v>0</v>
      </c>
      <c r="M138">
        <f t="shared" ca="1" si="40"/>
        <v>0</v>
      </c>
      <c r="N138" t="str">
        <f t="shared" ca="1" si="41"/>
        <v>Low</v>
      </c>
    </row>
    <row r="139" spans="1:14" x14ac:dyDescent="0.25">
      <c r="A139">
        <f t="shared" si="28"/>
        <v>138</v>
      </c>
      <c r="B139">
        <f t="shared" si="29"/>
        <v>1139</v>
      </c>
      <c r="C139" t="str">
        <f t="shared" ca="1" si="30"/>
        <v>V2</v>
      </c>
      <c r="D139">
        <f t="shared" ca="1" si="31"/>
        <v>45</v>
      </c>
      <c r="E139">
        <f t="shared" ca="1" si="32"/>
        <v>33</v>
      </c>
      <c r="F139">
        <f t="shared" ca="1" si="33"/>
        <v>4</v>
      </c>
      <c r="G139">
        <f t="shared" ca="1" si="34"/>
        <v>0.12121212121212122</v>
      </c>
      <c r="H139">
        <f t="shared" ca="1" si="35"/>
        <v>1</v>
      </c>
      <c r="I139">
        <f t="shared" ca="1" si="36"/>
        <v>3</v>
      </c>
      <c r="J139">
        <f t="shared" ca="1" si="37"/>
        <v>1</v>
      </c>
      <c r="K139">
        <f t="shared" ca="1" si="38"/>
        <v>0</v>
      </c>
      <c r="L139">
        <f t="shared" ca="1" si="39"/>
        <v>0</v>
      </c>
      <c r="M139">
        <f t="shared" ca="1" si="40"/>
        <v>1</v>
      </c>
      <c r="N139" t="str">
        <f t="shared" ca="1" si="41"/>
        <v>Low</v>
      </c>
    </row>
    <row r="140" spans="1:14" x14ac:dyDescent="0.25">
      <c r="A140">
        <f t="shared" si="28"/>
        <v>139</v>
      </c>
      <c r="B140">
        <f t="shared" si="29"/>
        <v>1140</v>
      </c>
      <c r="C140" t="str">
        <f t="shared" ca="1" si="30"/>
        <v>V1</v>
      </c>
      <c r="D140">
        <f t="shared" ca="1" si="31"/>
        <v>30</v>
      </c>
      <c r="E140">
        <f t="shared" ca="1" si="32"/>
        <v>25</v>
      </c>
      <c r="F140">
        <f t="shared" ca="1" si="33"/>
        <v>5</v>
      </c>
      <c r="G140">
        <f t="shared" ca="1" si="34"/>
        <v>0.2</v>
      </c>
      <c r="H140">
        <f t="shared" ca="1" si="35"/>
        <v>4</v>
      </c>
      <c r="I140">
        <f t="shared" ca="1" si="36"/>
        <v>2</v>
      </c>
      <c r="J140">
        <f t="shared" ca="1" si="37"/>
        <v>1</v>
      </c>
      <c r="K140">
        <f t="shared" ca="1" si="38"/>
        <v>0</v>
      </c>
      <c r="L140">
        <f t="shared" ca="1" si="39"/>
        <v>0</v>
      </c>
      <c r="M140">
        <f t="shared" ca="1" si="40"/>
        <v>0</v>
      </c>
      <c r="N140" t="str">
        <f t="shared" ca="1" si="41"/>
        <v>Medium</v>
      </c>
    </row>
    <row r="141" spans="1:14" x14ac:dyDescent="0.25">
      <c r="A141">
        <f t="shared" si="28"/>
        <v>140</v>
      </c>
      <c r="B141">
        <f t="shared" si="29"/>
        <v>1141</v>
      </c>
      <c r="C141" t="str">
        <f t="shared" ca="1" si="30"/>
        <v>V2</v>
      </c>
      <c r="D141">
        <f t="shared" ca="1" si="31"/>
        <v>45</v>
      </c>
      <c r="E141">
        <f t="shared" ca="1" si="32"/>
        <v>38</v>
      </c>
      <c r="F141">
        <f t="shared" ca="1" si="33"/>
        <v>2</v>
      </c>
      <c r="G141">
        <f t="shared" ca="1" si="34"/>
        <v>5.2631578947368418E-2</v>
      </c>
      <c r="H141">
        <f t="shared" ca="1" si="35"/>
        <v>4</v>
      </c>
      <c r="I141">
        <f t="shared" ca="1" si="36"/>
        <v>3</v>
      </c>
      <c r="J141">
        <f t="shared" ca="1" si="37"/>
        <v>1</v>
      </c>
      <c r="K141">
        <f t="shared" ca="1" si="38"/>
        <v>0</v>
      </c>
      <c r="L141">
        <f t="shared" ca="1" si="39"/>
        <v>0</v>
      </c>
      <c r="M141">
        <f t="shared" ca="1" si="40"/>
        <v>1</v>
      </c>
      <c r="N141" t="str">
        <f t="shared" ca="1" si="41"/>
        <v>Low</v>
      </c>
    </row>
    <row r="142" spans="1:14" x14ac:dyDescent="0.25">
      <c r="A142">
        <f t="shared" si="28"/>
        <v>141</v>
      </c>
      <c r="B142">
        <f t="shared" si="29"/>
        <v>1142</v>
      </c>
      <c r="C142" t="str">
        <f t="shared" ca="1" si="30"/>
        <v>V3</v>
      </c>
      <c r="D142">
        <f t="shared" ca="1" si="31"/>
        <v>30</v>
      </c>
      <c r="E142">
        <f t="shared" ca="1" si="32"/>
        <v>16</v>
      </c>
      <c r="F142">
        <f t="shared" ca="1" si="33"/>
        <v>2</v>
      </c>
      <c r="G142">
        <f t="shared" ca="1" si="34"/>
        <v>0.125</v>
      </c>
      <c r="H142">
        <f t="shared" ca="1" si="35"/>
        <v>4</v>
      </c>
      <c r="I142">
        <f t="shared" ca="1" si="36"/>
        <v>2</v>
      </c>
      <c r="J142">
        <f t="shared" ca="1" si="37"/>
        <v>0</v>
      </c>
      <c r="K142">
        <f t="shared" ca="1" si="38"/>
        <v>0</v>
      </c>
      <c r="L142">
        <f t="shared" ca="1" si="39"/>
        <v>0</v>
      </c>
      <c r="M142">
        <f t="shared" ca="1" si="40"/>
        <v>1</v>
      </c>
      <c r="N142" t="str">
        <f t="shared" ca="1" si="41"/>
        <v>Low</v>
      </c>
    </row>
    <row r="143" spans="1:14" x14ac:dyDescent="0.25">
      <c r="A143">
        <f t="shared" si="28"/>
        <v>142</v>
      </c>
      <c r="B143">
        <f t="shared" si="29"/>
        <v>1143</v>
      </c>
      <c r="C143" t="str">
        <f t="shared" ca="1" si="30"/>
        <v>V3</v>
      </c>
      <c r="D143">
        <f t="shared" ca="1" si="31"/>
        <v>60</v>
      </c>
      <c r="E143">
        <f t="shared" ca="1" si="32"/>
        <v>50</v>
      </c>
      <c r="F143">
        <f t="shared" ca="1" si="33"/>
        <v>7</v>
      </c>
      <c r="G143">
        <f t="shared" ca="1" si="34"/>
        <v>0.14000000000000001</v>
      </c>
      <c r="H143">
        <f t="shared" ca="1" si="35"/>
        <v>6</v>
      </c>
      <c r="I143">
        <f t="shared" ca="1" si="36"/>
        <v>3</v>
      </c>
      <c r="J143">
        <f t="shared" ca="1" si="37"/>
        <v>0</v>
      </c>
      <c r="K143">
        <f t="shared" ca="1" si="38"/>
        <v>0</v>
      </c>
      <c r="L143">
        <f t="shared" ca="1" si="39"/>
        <v>0</v>
      </c>
      <c r="M143">
        <f t="shared" ca="1" si="40"/>
        <v>0</v>
      </c>
      <c r="N143" t="str">
        <f t="shared" ca="1" si="41"/>
        <v>Low</v>
      </c>
    </row>
    <row r="144" spans="1:14" x14ac:dyDescent="0.25">
      <c r="A144">
        <f t="shared" si="28"/>
        <v>143</v>
      </c>
      <c r="B144">
        <f t="shared" si="29"/>
        <v>1144</v>
      </c>
      <c r="C144" t="str">
        <f t="shared" ca="1" si="30"/>
        <v>V2</v>
      </c>
      <c r="D144">
        <f t="shared" ca="1" si="31"/>
        <v>30</v>
      </c>
      <c r="E144">
        <f t="shared" ca="1" si="32"/>
        <v>29</v>
      </c>
      <c r="F144">
        <f t="shared" ca="1" si="33"/>
        <v>1</v>
      </c>
      <c r="G144">
        <f t="shared" ca="1" si="34"/>
        <v>3.4482758620689655E-2</v>
      </c>
      <c r="H144">
        <f t="shared" ca="1" si="35"/>
        <v>6</v>
      </c>
      <c r="I144">
        <f t="shared" ca="1" si="36"/>
        <v>4</v>
      </c>
      <c r="J144">
        <f t="shared" ca="1" si="37"/>
        <v>1</v>
      </c>
      <c r="K144">
        <f t="shared" ca="1" si="38"/>
        <v>1</v>
      </c>
      <c r="L144">
        <f t="shared" ca="1" si="39"/>
        <v>0</v>
      </c>
      <c r="M144">
        <f t="shared" ca="1" si="40"/>
        <v>0</v>
      </c>
      <c r="N144" t="str">
        <f t="shared" ca="1" si="41"/>
        <v>Low</v>
      </c>
    </row>
    <row r="145" spans="1:14" x14ac:dyDescent="0.25">
      <c r="A145">
        <f t="shared" si="28"/>
        <v>144</v>
      </c>
      <c r="B145">
        <f t="shared" si="29"/>
        <v>1145</v>
      </c>
      <c r="C145" t="str">
        <f t="shared" ca="1" si="30"/>
        <v>V3</v>
      </c>
      <c r="D145">
        <f t="shared" ca="1" si="31"/>
        <v>30</v>
      </c>
      <c r="E145">
        <f t="shared" ca="1" si="32"/>
        <v>17</v>
      </c>
      <c r="F145">
        <f t="shared" ca="1" si="33"/>
        <v>2</v>
      </c>
      <c r="G145">
        <f t="shared" ca="1" si="34"/>
        <v>0.11764705882352941</v>
      </c>
      <c r="H145">
        <f t="shared" ca="1" si="35"/>
        <v>6</v>
      </c>
      <c r="I145">
        <f t="shared" ca="1" si="36"/>
        <v>4</v>
      </c>
      <c r="J145">
        <f t="shared" ca="1" si="37"/>
        <v>1</v>
      </c>
      <c r="K145">
        <f t="shared" ca="1" si="38"/>
        <v>0</v>
      </c>
      <c r="L145">
        <f t="shared" ca="1" si="39"/>
        <v>0</v>
      </c>
      <c r="M145">
        <f t="shared" ca="1" si="40"/>
        <v>0</v>
      </c>
      <c r="N145" t="str">
        <f t="shared" ca="1" si="41"/>
        <v>Low</v>
      </c>
    </row>
    <row r="146" spans="1:14" x14ac:dyDescent="0.25">
      <c r="A146">
        <f t="shared" si="28"/>
        <v>145</v>
      </c>
      <c r="B146">
        <f t="shared" si="29"/>
        <v>1146</v>
      </c>
      <c r="C146" t="str">
        <f t="shared" ca="1" si="30"/>
        <v>V1</v>
      </c>
      <c r="D146">
        <f t="shared" ca="1" si="31"/>
        <v>30</v>
      </c>
      <c r="E146">
        <f t="shared" ca="1" si="32"/>
        <v>12</v>
      </c>
      <c r="F146">
        <f t="shared" ca="1" si="33"/>
        <v>7</v>
      </c>
      <c r="G146">
        <f t="shared" ca="1" si="34"/>
        <v>0.58333333333333337</v>
      </c>
      <c r="H146">
        <f t="shared" ca="1" si="35"/>
        <v>5</v>
      </c>
      <c r="I146">
        <f t="shared" ca="1" si="36"/>
        <v>2</v>
      </c>
      <c r="J146">
        <f t="shared" ca="1" si="37"/>
        <v>1</v>
      </c>
      <c r="K146">
        <f t="shared" ca="1" si="38"/>
        <v>0</v>
      </c>
      <c r="L146">
        <f t="shared" ca="1" si="39"/>
        <v>1</v>
      </c>
      <c r="M146">
        <f t="shared" ca="1" si="40"/>
        <v>0</v>
      </c>
      <c r="N146" t="str">
        <f t="shared" ca="1" si="41"/>
        <v>High</v>
      </c>
    </row>
    <row r="147" spans="1:14" x14ac:dyDescent="0.25">
      <c r="A147">
        <f t="shared" si="28"/>
        <v>146</v>
      </c>
      <c r="B147">
        <f t="shared" si="29"/>
        <v>1147</v>
      </c>
      <c r="C147" t="str">
        <f t="shared" ca="1" si="30"/>
        <v>V2</v>
      </c>
      <c r="D147">
        <f t="shared" ca="1" si="31"/>
        <v>60</v>
      </c>
      <c r="E147">
        <f t="shared" ca="1" si="32"/>
        <v>31</v>
      </c>
      <c r="F147">
        <f t="shared" ca="1" si="33"/>
        <v>1</v>
      </c>
      <c r="G147">
        <f t="shared" ca="1" si="34"/>
        <v>3.2258064516129031E-2</v>
      </c>
      <c r="H147">
        <f t="shared" ca="1" si="35"/>
        <v>6</v>
      </c>
      <c r="I147">
        <f t="shared" ca="1" si="36"/>
        <v>3</v>
      </c>
      <c r="J147">
        <f t="shared" ca="1" si="37"/>
        <v>1</v>
      </c>
      <c r="K147">
        <f t="shared" ca="1" si="38"/>
        <v>0</v>
      </c>
      <c r="L147">
        <f t="shared" ca="1" si="39"/>
        <v>0</v>
      </c>
      <c r="M147">
        <f t="shared" ca="1" si="40"/>
        <v>1</v>
      </c>
      <c r="N147" t="str">
        <f t="shared" ca="1" si="41"/>
        <v>Low</v>
      </c>
    </row>
    <row r="148" spans="1:14" x14ac:dyDescent="0.25">
      <c r="A148">
        <f t="shared" si="28"/>
        <v>147</v>
      </c>
      <c r="B148">
        <f t="shared" si="29"/>
        <v>1148</v>
      </c>
      <c r="C148" t="str">
        <f t="shared" ca="1" si="30"/>
        <v>V3</v>
      </c>
      <c r="D148">
        <f t="shared" ca="1" si="31"/>
        <v>45</v>
      </c>
      <c r="E148">
        <f t="shared" ca="1" si="32"/>
        <v>25</v>
      </c>
      <c r="F148">
        <f t="shared" ca="1" si="33"/>
        <v>3</v>
      </c>
      <c r="G148">
        <f t="shared" ca="1" si="34"/>
        <v>0.12</v>
      </c>
      <c r="H148">
        <f t="shared" ca="1" si="35"/>
        <v>5</v>
      </c>
      <c r="I148">
        <f t="shared" ca="1" si="36"/>
        <v>1</v>
      </c>
      <c r="J148">
        <f t="shared" ca="1" si="37"/>
        <v>0</v>
      </c>
      <c r="K148">
        <f t="shared" ca="1" si="38"/>
        <v>0</v>
      </c>
      <c r="L148">
        <f t="shared" ca="1" si="39"/>
        <v>0</v>
      </c>
      <c r="M148">
        <f t="shared" ca="1" si="40"/>
        <v>0</v>
      </c>
      <c r="N148" t="str">
        <f t="shared" ca="1" si="41"/>
        <v>Low</v>
      </c>
    </row>
    <row r="149" spans="1:14" x14ac:dyDescent="0.25">
      <c r="A149">
        <f t="shared" si="28"/>
        <v>148</v>
      </c>
      <c r="B149">
        <f t="shared" si="29"/>
        <v>1149</v>
      </c>
      <c r="C149" t="str">
        <f t="shared" ca="1" si="30"/>
        <v>V1</v>
      </c>
      <c r="D149">
        <f t="shared" ca="1" si="31"/>
        <v>30</v>
      </c>
      <c r="E149">
        <f t="shared" ca="1" si="32"/>
        <v>17</v>
      </c>
      <c r="F149">
        <f t="shared" ca="1" si="33"/>
        <v>5</v>
      </c>
      <c r="G149">
        <f t="shared" ca="1" si="34"/>
        <v>0.29411764705882354</v>
      </c>
      <c r="H149">
        <f t="shared" ca="1" si="35"/>
        <v>5</v>
      </c>
      <c r="I149">
        <f t="shared" ca="1" si="36"/>
        <v>0</v>
      </c>
      <c r="J149">
        <f t="shared" ca="1" si="37"/>
        <v>0</v>
      </c>
      <c r="K149">
        <f t="shared" ca="1" si="38"/>
        <v>0</v>
      </c>
      <c r="L149">
        <f t="shared" ca="1" si="39"/>
        <v>0</v>
      </c>
      <c r="M149">
        <f t="shared" ca="1" si="40"/>
        <v>0</v>
      </c>
      <c r="N149" t="str">
        <f t="shared" ca="1" si="41"/>
        <v>Medium</v>
      </c>
    </row>
    <row r="150" spans="1:14" x14ac:dyDescent="0.25">
      <c r="A150">
        <f t="shared" si="28"/>
        <v>149</v>
      </c>
      <c r="B150">
        <f t="shared" si="29"/>
        <v>1150</v>
      </c>
      <c r="C150" t="str">
        <f t="shared" ca="1" si="30"/>
        <v>V1</v>
      </c>
      <c r="D150">
        <f t="shared" ca="1" si="31"/>
        <v>30</v>
      </c>
      <c r="E150">
        <f t="shared" ca="1" si="32"/>
        <v>28</v>
      </c>
      <c r="F150">
        <f t="shared" ca="1" si="33"/>
        <v>1</v>
      </c>
      <c r="G150">
        <f t="shared" ca="1" si="34"/>
        <v>3.5714285714285712E-2</v>
      </c>
      <c r="H150">
        <f t="shared" ca="1" si="35"/>
        <v>4</v>
      </c>
      <c r="I150">
        <f t="shared" ca="1" si="36"/>
        <v>2</v>
      </c>
      <c r="J150">
        <f t="shared" ca="1" si="37"/>
        <v>1</v>
      </c>
      <c r="K150">
        <f t="shared" ca="1" si="38"/>
        <v>1</v>
      </c>
      <c r="L150">
        <f t="shared" ca="1" si="39"/>
        <v>0</v>
      </c>
      <c r="M150">
        <f t="shared" ca="1" si="40"/>
        <v>1</v>
      </c>
      <c r="N150" t="str">
        <f t="shared" ca="1" si="41"/>
        <v>Low</v>
      </c>
    </row>
    <row r="151" spans="1:14" x14ac:dyDescent="0.25">
      <c r="A151">
        <f t="shared" si="28"/>
        <v>150</v>
      </c>
      <c r="B151">
        <f t="shared" si="29"/>
        <v>1151</v>
      </c>
      <c r="C151" t="str">
        <f t="shared" ca="1" si="30"/>
        <v>V3</v>
      </c>
      <c r="D151">
        <f t="shared" ca="1" si="31"/>
        <v>45</v>
      </c>
      <c r="E151">
        <f t="shared" ca="1" si="32"/>
        <v>45</v>
      </c>
      <c r="F151">
        <f t="shared" ca="1" si="33"/>
        <v>4</v>
      </c>
      <c r="G151">
        <f t="shared" ca="1" si="34"/>
        <v>8.8888888888888892E-2</v>
      </c>
      <c r="H151">
        <f t="shared" ca="1" si="35"/>
        <v>2</v>
      </c>
      <c r="I151">
        <f t="shared" ca="1" si="36"/>
        <v>2</v>
      </c>
      <c r="J151">
        <f t="shared" ca="1" si="37"/>
        <v>0</v>
      </c>
      <c r="K151">
        <f t="shared" ca="1" si="38"/>
        <v>1</v>
      </c>
      <c r="L151">
        <f t="shared" ca="1" si="39"/>
        <v>0</v>
      </c>
      <c r="M151">
        <f t="shared" ca="1" si="40"/>
        <v>0</v>
      </c>
      <c r="N151" t="str">
        <f t="shared" ca="1" si="41"/>
        <v>Low</v>
      </c>
    </row>
    <row r="152" spans="1:14" x14ac:dyDescent="0.25">
      <c r="A152">
        <f t="shared" si="28"/>
        <v>151</v>
      </c>
      <c r="B152">
        <f t="shared" si="29"/>
        <v>1152</v>
      </c>
      <c r="C152" t="str">
        <f t="shared" ca="1" si="30"/>
        <v>V3</v>
      </c>
      <c r="D152">
        <f t="shared" ca="1" si="31"/>
        <v>30</v>
      </c>
      <c r="E152">
        <f t="shared" ca="1" si="32"/>
        <v>23</v>
      </c>
      <c r="F152">
        <f t="shared" ca="1" si="33"/>
        <v>7</v>
      </c>
      <c r="G152">
        <f t="shared" ca="1" si="34"/>
        <v>0.30434782608695654</v>
      </c>
      <c r="H152">
        <f t="shared" ca="1" si="35"/>
        <v>1</v>
      </c>
      <c r="I152">
        <f t="shared" ca="1" si="36"/>
        <v>2</v>
      </c>
      <c r="J152">
        <f t="shared" ca="1" si="37"/>
        <v>1</v>
      </c>
      <c r="K152">
        <f t="shared" ca="1" si="38"/>
        <v>0</v>
      </c>
      <c r="L152">
        <f t="shared" ca="1" si="39"/>
        <v>1</v>
      </c>
      <c r="M152">
        <f t="shared" ca="1" si="40"/>
        <v>1</v>
      </c>
      <c r="N152" t="str">
        <f t="shared" ca="1" si="41"/>
        <v>Medium</v>
      </c>
    </row>
    <row r="153" spans="1:14" x14ac:dyDescent="0.25">
      <c r="A153">
        <f t="shared" si="28"/>
        <v>152</v>
      </c>
      <c r="B153">
        <f t="shared" si="29"/>
        <v>1153</v>
      </c>
      <c r="C153" t="str">
        <f t="shared" ca="1" si="30"/>
        <v>V3</v>
      </c>
      <c r="D153">
        <f t="shared" ca="1" si="31"/>
        <v>30</v>
      </c>
      <c r="E153">
        <f t="shared" ca="1" si="32"/>
        <v>16</v>
      </c>
      <c r="F153">
        <f t="shared" ca="1" si="33"/>
        <v>8</v>
      </c>
      <c r="G153">
        <f t="shared" ca="1" si="34"/>
        <v>0.5</v>
      </c>
      <c r="H153">
        <f t="shared" ca="1" si="35"/>
        <v>2</v>
      </c>
      <c r="I153">
        <f t="shared" ca="1" si="36"/>
        <v>0</v>
      </c>
      <c r="J153">
        <f t="shared" ca="1" si="37"/>
        <v>0</v>
      </c>
      <c r="K153">
        <f t="shared" ca="1" si="38"/>
        <v>0</v>
      </c>
      <c r="L153">
        <f t="shared" ca="1" si="39"/>
        <v>0</v>
      </c>
      <c r="M153">
        <f t="shared" ca="1" si="40"/>
        <v>0</v>
      </c>
      <c r="N153" t="str">
        <f t="shared" ca="1" si="41"/>
        <v>Medium</v>
      </c>
    </row>
    <row r="154" spans="1:14" x14ac:dyDescent="0.25">
      <c r="A154">
        <f t="shared" si="28"/>
        <v>153</v>
      </c>
      <c r="B154">
        <f t="shared" si="29"/>
        <v>1154</v>
      </c>
      <c r="C154" t="str">
        <f t="shared" ca="1" si="30"/>
        <v>V1</v>
      </c>
      <c r="D154">
        <f t="shared" ca="1" si="31"/>
        <v>60</v>
      </c>
      <c r="E154">
        <f t="shared" ca="1" si="32"/>
        <v>32</v>
      </c>
      <c r="F154">
        <f t="shared" ca="1" si="33"/>
        <v>4</v>
      </c>
      <c r="G154">
        <f t="shared" ca="1" si="34"/>
        <v>0.125</v>
      </c>
      <c r="H154">
        <f t="shared" ca="1" si="35"/>
        <v>4</v>
      </c>
      <c r="I154">
        <f t="shared" ca="1" si="36"/>
        <v>4</v>
      </c>
      <c r="J154">
        <f t="shared" ca="1" si="37"/>
        <v>0</v>
      </c>
      <c r="K154">
        <f t="shared" ca="1" si="38"/>
        <v>0</v>
      </c>
      <c r="L154">
        <f t="shared" ca="1" si="39"/>
        <v>0</v>
      </c>
      <c r="M154">
        <f t="shared" ca="1" si="40"/>
        <v>0</v>
      </c>
      <c r="N154" t="str">
        <f t="shared" ca="1" si="41"/>
        <v>Low</v>
      </c>
    </row>
    <row r="155" spans="1:14" x14ac:dyDescent="0.25">
      <c r="A155">
        <f t="shared" si="28"/>
        <v>154</v>
      </c>
      <c r="B155">
        <f t="shared" si="29"/>
        <v>1155</v>
      </c>
      <c r="C155" t="str">
        <f t="shared" ca="1" si="30"/>
        <v>V2</v>
      </c>
      <c r="D155">
        <f t="shared" ca="1" si="31"/>
        <v>60</v>
      </c>
      <c r="E155">
        <f t="shared" ca="1" si="32"/>
        <v>33</v>
      </c>
      <c r="F155">
        <f t="shared" ca="1" si="33"/>
        <v>8</v>
      </c>
      <c r="G155">
        <f t="shared" ca="1" si="34"/>
        <v>0.24242424242424243</v>
      </c>
      <c r="H155">
        <f t="shared" ca="1" si="35"/>
        <v>1</v>
      </c>
      <c r="I155">
        <f t="shared" ca="1" si="36"/>
        <v>4</v>
      </c>
      <c r="J155">
        <f t="shared" ca="1" si="37"/>
        <v>0</v>
      </c>
      <c r="K155">
        <f t="shared" ca="1" si="38"/>
        <v>0</v>
      </c>
      <c r="L155">
        <f t="shared" ca="1" si="39"/>
        <v>0</v>
      </c>
      <c r="M155">
        <f t="shared" ca="1" si="40"/>
        <v>1</v>
      </c>
      <c r="N155" t="str">
        <f t="shared" ca="1" si="41"/>
        <v>Medium</v>
      </c>
    </row>
    <row r="156" spans="1:14" x14ac:dyDescent="0.25">
      <c r="A156">
        <f t="shared" si="28"/>
        <v>155</v>
      </c>
      <c r="B156">
        <f t="shared" si="29"/>
        <v>1156</v>
      </c>
      <c r="C156" t="str">
        <f t="shared" ca="1" si="30"/>
        <v>V3</v>
      </c>
      <c r="D156">
        <f t="shared" ca="1" si="31"/>
        <v>30</v>
      </c>
      <c r="E156">
        <f t="shared" ca="1" si="32"/>
        <v>26</v>
      </c>
      <c r="F156">
        <f t="shared" ca="1" si="33"/>
        <v>1</v>
      </c>
      <c r="G156">
        <f t="shared" ca="1" si="34"/>
        <v>3.8461538461538464E-2</v>
      </c>
      <c r="H156">
        <f t="shared" ca="1" si="35"/>
        <v>6</v>
      </c>
      <c r="I156">
        <f t="shared" ca="1" si="36"/>
        <v>0</v>
      </c>
      <c r="J156">
        <f t="shared" ca="1" si="37"/>
        <v>0</v>
      </c>
      <c r="K156">
        <f t="shared" ca="1" si="38"/>
        <v>0</v>
      </c>
      <c r="L156">
        <f t="shared" ca="1" si="39"/>
        <v>0</v>
      </c>
      <c r="M156">
        <f t="shared" ca="1" si="40"/>
        <v>0</v>
      </c>
      <c r="N156" t="str">
        <f t="shared" ca="1" si="41"/>
        <v>Low</v>
      </c>
    </row>
    <row r="157" spans="1:14" x14ac:dyDescent="0.25">
      <c r="A157">
        <f t="shared" si="28"/>
        <v>156</v>
      </c>
      <c r="B157">
        <f t="shared" si="29"/>
        <v>1157</v>
      </c>
      <c r="C157" t="str">
        <f t="shared" ca="1" si="30"/>
        <v>V3</v>
      </c>
      <c r="D157">
        <f t="shared" ca="1" si="31"/>
        <v>30</v>
      </c>
      <c r="E157">
        <f t="shared" ca="1" si="32"/>
        <v>28</v>
      </c>
      <c r="F157">
        <f t="shared" ca="1" si="33"/>
        <v>3</v>
      </c>
      <c r="G157">
        <f t="shared" ca="1" si="34"/>
        <v>0.10714285714285714</v>
      </c>
      <c r="H157">
        <f t="shared" ca="1" si="35"/>
        <v>4</v>
      </c>
      <c r="I157">
        <f t="shared" ca="1" si="36"/>
        <v>0</v>
      </c>
      <c r="J157">
        <f t="shared" ca="1" si="37"/>
        <v>0</v>
      </c>
      <c r="K157">
        <f t="shared" ca="1" si="38"/>
        <v>1</v>
      </c>
      <c r="L157">
        <f t="shared" ca="1" si="39"/>
        <v>0</v>
      </c>
      <c r="M157">
        <f t="shared" ca="1" si="40"/>
        <v>0</v>
      </c>
      <c r="N157" t="str">
        <f t="shared" ca="1" si="41"/>
        <v>Low</v>
      </c>
    </row>
    <row r="158" spans="1:14" x14ac:dyDescent="0.25">
      <c r="A158">
        <f t="shared" si="28"/>
        <v>157</v>
      </c>
      <c r="B158">
        <f t="shared" si="29"/>
        <v>1158</v>
      </c>
      <c r="C158" t="str">
        <f t="shared" ca="1" si="30"/>
        <v>V3</v>
      </c>
      <c r="D158">
        <f t="shared" ca="1" si="31"/>
        <v>30</v>
      </c>
      <c r="E158">
        <f t="shared" ca="1" si="32"/>
        <v>29</v>
      </c>
      <c r="F158">
        <f t="shared" ca="1" si="33"/>
        <v>3</v>
      </c>
      <c r="G158">
        <f t="shared" ca="1" si="34"/>
        <v>0.10344827586206896</v>
      </c>
      <c r="H158">
        <f t="shared" ca="1" si="35"/>
        <v>5</v>
      </c>
      <c r="I158">
        <f t="shared" ca="1" si="36"/>
        <v>1</v>
      </c>
      <c r="J158">
        <f t="shared" ca="1" si="37"/>
        <v>0</v>
      </c>
      <c r="K158">
        <f t="shared" ca="1" si="38"/>
        <v>1</v>
      </c>
      <c r="L158">
        <f t="shared" ca="1" si="39"/>
        <v>0</v>
      </c>
      <c r="M158">
        <f t="shared" ca="1" si="40"/>
        <v>0</v>
      </c>
      <c r="N158" t="str">
        <f t="shared" ca="1" si="41"/>
        <v>Low</v>
      </c>
    </row>
    <row r="159" spans="1:14" x14ac:dyDescent="0.25">
      <c r="A159">
        <f t="shared" si="28"/>
        <v>158</v>
      </c>
      <c r="B159">
        <f t="shared" si="29"/>
        <v>1159</v>
      </c>
      <c r="C159" t="str">
        <f t="shared" ca="1" si="30"/>
        <v>V3</v>
      </c>
      <c r="D159">
        <f t="shared" ca="1" si="31"/>
        <v>30</v>
      </c>
      <c r="E159">
        <f t="shared" ca="1" si="32"/>
        <v>25</v>
      </c>
      <c r="F159">
        <f t="shared" ca="1" si="33"/>
        <v>1</v>
      </c>
      <c r="G159">
        <f t="shared" ca="1" si="34"/>
        <v>0.04</v>
      </c>
      <c r="H159">
        <f t="shared" ca="1" si="35"/>
        <v>4</v>
      </c>
      <c r="I159">
        <f t="shared" ca="1" si="36"/>
        <v>2</v>
      </c>
      <c r="J159">
        <f t="shared" ca="1" si="37"/>
        <v>1</v>
      </c>
      <c r="K159">
        <f t="shared" ca="1" si="38"/>
        <v>0</v>
      </c>
      <c r="L159">
        <f t="shared" ca="1" si="39"/>
        <v>0</v>
      </c>
      <c r="M159">
        <f t="shared" ca="1" si="40"/>
        <v>1</v>
      </c>
      <c r="N159" t="str">
        <f t="shared" ca="1" si="41"/>
        <v>Low</v>
      </c>
    </row>
    <row r="160" spans="1:14" x14ac:dyDescent="0.25">
      <c r="A160">
        <f t="shared" si="28"/>
        <v>159</v>
      </c>
      <c r="B160">
        <f t="shared" si="29"/>
        <v>1160</v>
      </c>
      <c r="C160" t="str">
        <f t="shared" ca="1" si="30"/>
        <v>V2</v>
      </c>
      <c r="D160">
        <f t="shared" ca="1" si="31"/>
        <v>60</v>
      </c>
      <c r="E160">
        <f t="shared" ca="1" si="32"/>
        <v>28</v>
      </c>
      <c r="F160">
        <f t="shared" ca="1" si="33"/>
        <v>8</v>
      </c>
      <c r="G160">
        <f t="shared" ca="1" si="34"/>
        <v>0.2857142857142857</v>
      </c>
      <c r="H160">
        <f t="shared" ca="1" si="35"/>
        <v>3</v>
      </c>
      <c r="I160">
        <f t="shared" ca="1" si="36"/>
        <v>1</v>
      </c>
      <c r="J160">
        <f t="shared" ca="1" si="37"/>
        <v>0</v>
      </c>
      <c r="K160">
        <f t="shared" ca="1" si="38"/>
        <v>0</v>
      </c>
      <c r="L160">
        <f t="shared" ca="1" si="39"/>
        <v>0</v>
      </c>
      <c r="M160">
        <f t="shared" ca="1" si="40"/>
        <v>1</v>
      </c>
      <c r="N160" t="str">
        <f t="shared" ca="1" si="41"/>
        <v>Medium</v>
      </c>
    </row>
    <row r="161" spans="1:14" x14ac:dyDescent="0.25">
      <c r="A161">
        <f t="shared" si="28"/>
        <v>160</v>
      </c>
      <c r="B161">
        <f t="shared" si="29"/>
        <v>1161</v>
      </c>
      <c r="C161" t="str">
        <f t="shared" ca="1" si="30"/>
        <v>V2</v>
      </c>
      <c r="D161">
        <f t="shared" ca="1" si="31"/>
        <v>45</v>
      </c>
      <c r="E161">
        <f t="shared" ca="1" si="32"/>
        <v>44</v>
      </c>
      <c r="F161">
        <f t="shared" ca="1" si="33"/>
        <v>4</v>
      </c>
      <c r="G161">
        <f t="shared" ca="1" si="34"/>
        <v>9.0909090909090912E-2</v>
      </c>
      <c r="H161">
        <f t="shared" ca="1" si="35"/>
        <v>4</v>
      </c>
      <c r="I161">
        <f t="shared" ca="1" si="36"/>
        <v>3</v>
      </c>
      <c r="J161">
        <f t="shared" ca="1" si="37"/>
        <v>0</v>
      </c>
      <c r="K161">
        <f t="shared" ca="1" si="38"/>
        <v>1</v>
      </c>
      <c r="L161">
        <f t="shared" ca="1" si="39"/>
        <v>0</v>
      </c>
      <c r="M161">
        <f t="shared" ca="1" si="40"/>
        <v>0</v>
      </c>
      <c r="N161" t="str">
        <f t="shared" ca="1" si="41"/>
        <v>Low</v>
      </c>
    </row>
    <row r="162" spans="1:14" x14ac:dyDescent="0.25">
      <c r="A162">
        <f t="shared" si="28"/>
        <v>161</v>
      </c>
      <c r="B162">
        <f t="shared" si="29"/>
        <v>1162</v>
      </c>
      <c r="C162" t="str">
        <f t="shared" ca="1" si="30"/>
        <v>V2</v>
      </c>
      <c r="D162">
        <f t="shared" ca="1" si="31"/>
        <v>45</v>
      </c>
      <c r="E162">
        <f t="shared" ca="1" si="32"/>
        <v>42</v>
      </c>
      <c r="F162">
        <f t="shared" ca="1" si="33"/>
        <v>8</v>
      </c>
      <c r="G162">
        <f t="shared" ca="1" si="34"/>
        <v>0.19047619047619047</v>
      </c>
      <c r="H162">
        <f t="shared" ca="1" si="35"/>
        <v>3</v>
      </c>
      <c r="I162">
        <f t="shared" ca="1" si="36"/>
        <v>2</v>
      </c>
      <c r="J162">
        <f t="shared" ca="1" si="37"/>
        <v>1</v>
      </c>
      <c r="K162">
        <f t="shared" ca="1" si="38"/>
        <v>1</v>
      </c>
      <c r="L162">
        <f t="shared" ca="1" si="39"/>
        <v>0</v>
      </c>
      <c r="M162">
        <f t="shared" ca="1" si="40"/>
        <v>1</v>
      </c>
      <c r="N162" t="str">
        <f t="shared" ca="1" si="41"/>
        <v>Low</v>
      </c>
    </row>
    <row r="163" spans="1:14" x14ac:dyDescent="0.25">
      <c r="A163">
        <f t="shared" si="28"/>
        <v>162</v>
      </c>
      <c r="B163">
        <f t="shared" si="29"/>
        <v>1163</v>
      </c>
      <c r="C163" t="str">
        <f t="shared" ca="1" si="30"/>
        <v>V2</v>
      </c>
      <c r="D163">
        <f t="shared" ca="1" si="31"/>
        <v>30</v>
      </c>
      <c r="E163">
        <f t="shared" ca="1" si="32"/>
        <v>16</v>
      </c>
      <c r="F163">
        <f t="shared" ca="1" si="33"/>
        <v>3</v>
      </c>
      <c r="G163">
        <f t="shared" ca="1" si="34"/>
        <v>0.1875</v>
      </c>
      <c r="H163">
        <f t="shared" ca="1" si="35"/>
        <v>6</v>
      </c>
      <c r="I163">
        <f t="shared" ca="1" si="36"/>
        <v>3</v>
      </c>
      <c r="J163">
        <f t="shared" ca="1" si="37"/>
        <v>0</v>
      </c>
      <c r="K163">
        <f t="shared" ca="1" si="38"/>
        <v>0</v>
      </c>
      <c r="L163">
        <f t="shared" ca="1" si="39"/>
        <v>0</v>
      </c>
      <c r="M163">
        <f t="shared" ca="1" si="40"/>
        <v>0</v>
      </c>
      <c r="N163" t="str">
        <f t="shared" ca="1" si="41"/>
        <v>Low</v>
      </c>
    </row>
    <row r="164" spans="1:14" x14ac:dyDescent="0.25">
      <c r="A164">
        <f t="shared" si="28"/>
        <v>163</v>
      </c>
      <c r="B164">
        <f t="shared" si="29"/>
        <v>1164</v>
      </c>
      <c r="C164" t="str">
        <f t="shared" ca="1" si="30"/>
        <v>V3</v>
      </c>
      <c r="D164">
        <f t="shared" ca="1" si="31"/>
        <v>30</v>
      </c>
      <c r="E164">
        <f t="shared" ca="1" si="32"/>
        <v>15</v>
      </c>
      <c r="F164">
        <f t="shared" ca="1" si="33"/>
        <v>1</v>
      </c>
      <c r="G164">
        <f t="shared" ca="1" si="34"/>
        <v>6.6666666666666666E-2</v>
      </c>
      <c r="H164">
        <f t="shared" ca="1" si="35"/>
        <v>4</v>
      </c>
      <c r="I164">
        <f t="shared" ca="1" si="36"/>
        <v>2</v>
      </c>
      <c r="J164">
        <f t="shared" ca="1" si="37"/>
        <v>1</v>
      </c>
      <c r="K164">
        <f t="shared" ca="1" si="38"/>
        <v>0</v>
      </c>
      <c r="L164">
        <f t="shared" ca="1" si="39"/>
        <v>0</v>
      </c>
      <c r="M164">
        <f t="shared" ca="1" si="40"/>
        <v>1</v>
      </c>
      <c r="N164" t="str">
        <f t="shared" ca="1" si="41"/>
        <v>Low</v>
      </c>
    </row>
    <row r="165" spans="1:14" x14ac:dyDescent="0.25">
      <c r="A165">
        <f t="shared" si="28"/>
        <v>164</v>
      </c>
      <c r="B165">
        <f t="shared" si="29"/>
        <v>1165</v>
      </c>
      <c r="C165" t="str">
        <f t="shared" ca="1" si="30"/>
        <v>V1</v>
      </c>
      <c r="D165">
        <f t="shared" ca="1" si="31"/>
        <v>45</v>
      </c>
      <c r="E165">
        <f t="shared" ca="1" si="32"/>
        <v>29</v>
      </c>
      <c r="F165">
        <f t="shared" ca="1" si="33"/>
        <v>6</v>
      </c>
      <c r="G165">
        <f t="shared" ca="1" si="34"/>
        <v>0.20689655172413793</v>
      </c>
      <c r="H165">
        <f t="shared" ca="1" si="35"/>
        <v>5</v>
      </c>
      <c r="I165">
        <f t="shared" ca="1" si="36"/>
        <v>0</v>
      </c>
      <c r="J165">
        <f t="shared" ca="1" si="37"/>
        <v>0</v>
      </c>
      <c r="K165">
        <f t="shared" ca="1" si="38"/>
        <v>0</v>
      </c>
      <c r="L165">
        <f t="shared" ca="1" si="39"/>
        <v>0</v>
      </c>
      <c r="M165">
        <f t="shared" ca="1" si="40"/>
        <v>0</v>
      </c>
      <c r="N165" t="str">
        <f t="shared" ca="1" si="41"/>
        <v>Medium</v>
      </c>
    </row>
    <row r="166" spans="1:14" x14ac:dyDescent="0.25">
      <c r="A166">
        <f t="shared" si="28"/>
        <v>165</v>
      </c>
      <c r="B166">
        <f t="shared" si="29"/>
        <v>1166</v>
      </c>
      <c r="C166" t="str">
        <f t="shared" ca="1" si="30"/>
        <v>V1</v>
      </c>
      <c r="D166">
        <f t="shared" ca="1" si="31"/>
        <v>45</v>
      </c>
      <c r="E166">
        <f t="shared" ca="1" si="32"/>
        <v>18</v>
      </c>
      <c r="F166">
        <f t="shared" ca="1" si="33"/>
        <v>2</v>
      </c>
      <c r="G166">
        <f t="shared" ca="1" si="34"/>
        <v>0.1111111111111111</v>
      </c>
      <c r="H166">
        <f t="shared" ca="1" si="35"/>
        <v>1</v>
      </c>
      <c r="I166">
        <f t="shared" ca="1" si="36"/>
        <v>0</v>
      </c>
      <c r="J166">
        <f t="shared" ca="1" si="37"/>
        <v>0</v>
      </c>
      <c r="K166">
        <f t="shared" ca="1" si="38"/>
        <v>0</v>
      </c>
      <c r="L166">
        <f t="shared" ca="1" si="39"/>
        <v>0</v>
      </c>
      <c r="M166">
        <f t="shared" ca="1" si="40"/>
        <v>1</v>
      </c>
      <c r="N166" t="str">
        <f t="shared" ca="1" si="41"/>
        <v>Low</v>
      </c>
    </row>
    <row r="167" spans="1:14" x14ac:dyDescent="0.25">
      <c r="A167">
        <f t="shared" si="28"/>
        <v>166</v>
      </c>
      <c r="B167">
        <f t="shared" si="29"/>
        <v>1167</v>
      </c>
      <c r="C167" t="str">
        <f t="shared" ca="1" si="30"/>
        <v>V2</v>
      </c>
      <c r="D167">
        <f t="shared" ca="1" si="31"/>
        <v>45</v>
      </c>
      <c r="E167">
        <f t="shared" ca="1" si="32"/>
        <v>30</v>
      </c>
      <c r="F167">
        <f t="shared" ca="1" si="33"/>
        <v>8</v>
      </c>
      <c r="G167">
        <f t="shared" ca="1" si="34"/>
        <v>0.26666666666666666</v>
      </c>
      <c r="H167">
        <f t="shared" ca="1" si="35"/>
        <v>6</v>
      </c>
      <c r="I167">
        <f t="shared" ca="1" si="36"/>
        <v>1</v>
      </c>
      <c r="J167">
        <f t="shared" ca="1" si="37"/>
        <v>1</v>
      </c>
      <c r="K167">
        <f t="shared" ca="1" si="38"/>
        <v>0</v>
      </c>
      <c r="L167">
        <f t="shared" ca="1" si="39"/>
        <v>0</v>
      </c>
      <c r="M167">
        <f t="shared" ca="1" si="40"/>
        <v>0</v>
      </c>
      <c r="N167" t="str">
        <f t="shared" ca="1" si="41"/>
        <v>Medium</v>
      </c>
    </row>
    <row r="168" spans="1:14" x14ac:dyDescent="0.25">
      <c r="A168">
        <f t="shared" si="28"/>
        <v>167</v>
      </c>
      <c r="B168">
        <f t="shared" si="29"/>
        <v>1168</v>
      </c>
      <c r="C168" t="str">
        <f t="shared" ca="1" si="30"/>
        <v>V1</v>
      </c>
      <c r="D168">
        <f t="shared" ca="1" si="31"/>
        <v>30</v>
      </c>
      <c r="E168">
        <f t="shared" ca="1" si="32"/>
        <v>23</v>
      </c>
      <c r="F168">
        <f t="shared" ca="1" si="33"/>
        <v>8</v>
      </c>
      <c r="G168">
        <f t="shared" ca="1" si="34"/>
        <v>0.34782608695652173</v>
      </c>
      <c r="H168">
        <f t="shared" ca="1" si="35"/>
        <v>0</v>
      </c>
      <c r="I168">
        <f t="shared" ca="1" si="36"/>
        <v>1</v>
      </c>
      <c r="J168">
        <f t="shared" ca="1" si="37"/>
        <v>1</v>
      </c>
      <c r="K168">
        <f t="shared" ca="1" si="38"/>
        <v>0</v>
      </c>
      <c r="L168">
        <f t="shared" ca="1" si="39"/>
        <v>1</v>
      </c>
      <c r="M168">
        <f t="shared" ca="1" si="40"/>
        <v>1</v>
      </c>
      <c r="N168" t="str">
        <f t="shared" ca="1" si="41"/>
        <v>Medium</v>
      </c>
    </row>
    <row r="169" spans="1:14" x14ac:dyDescent="0.25">
      <c r="A169">
        <f t="shared" si="28"/>
        <v>168</v>
      </c>
      <c r="B169">
        <f t="shared" si="29"/>
        <v>1169</v>
      </c>
      <c r="C169" t="str">
        <f t="shared" ca="1" si="30"/>
        <v>V1</v>
      </c>
      <c r="D169">
        <f t="shared" ca="1" si="31"/>
        <v>60</v>
      </c>
      <c r="E169">
        <f t="shared" ca="1" si="32"/>
        <v>36</v>
      </c>
      <c r="F169">
        <f t="shared" ca="1" si="33"/>
        <v>4</v>
      </c>
      <c r="G169">
        <f t="shared" ca="1" si="34"/>
        <v>0.1111111111111111</v>
      </c>
      <c r="H169">
        <f t="shared" ca="1" si="35"/>
        <v>1</v>
      </c>
      <c r="I169">
        <f t="shared" ca="1" si="36"/>
        <v>3</v>
      </c>
      <c r="J169">
        <f t="shared" ca="1" si="37"/>
        <v>1</v>
      </c>
      <c r="K169">
        <f t="shared" ca="1" si="38"/>
        <v>0</v>
      </c>
      <c r="L169">
        <f t="shared" ca="1" si="39"/>
        <v>0</v>
      </c>
      <c r="M169">
        <f t="shared" ca="1" si="40"/>
        <v>0</v>
      </c>
      <c r="N169" t="str">
        <f t="shared" ca="1" si="41"/>
        <v>Low</v>
      </c>
    </row>
    <row r="170" spans="1:14" x14ac:dyDescent="0.25">
      <c r="A170">
        <f t="shared" si="28"/>
        <v>169</v>
      </c>
      <c r="B170">
        <f t="shared" si="29"/>
        <v>1170</v>
      </c>
      <c r="C170" t="str">
        <f t="shared" ca="1" si="30"/>
        <v>V1</v>
      </c>
      <c r="D170">
        <f t="shared" ca="1" si="31"/>
        <v>30</v>
      </c>
      <c r="E170">
        <f t="shared" ca="1" si="32"/>
        <v>14</v>
      </c>
      <c r="F170">
        <f t="shared" ca="1" si="33"/>
        <v>6</v>
      </c>
      <c r="G170">
        <f t="shared" ca="1" si="34"/>
        <v>0.42857142857142855</v>
      </c>
      <c r="H170">
        <f t="shared" ca="1" si="35"/>
        <v>5</v>
      </c>
      <c r="I170">
        <f t="shared" ca="1" si="36"/>
        <v>1</v>
      </c>
      <c r="J170">
        <f t="shared" ca="1" si="37"/>
        <v>1</v>
      </c>
      <c r="K170">
        <f t="shared" ca="1" si="38"/>
        <v>0</v>
      </c>
      <c r="L170">
        <f t="shared" ca="1" si="39"/>
        <v>1</v>
      </c>
      <c r="M170">
        <f t="shared" ca="1" si="40"/>
        <v>0</v>
      </c>
      <c r="N170" t="str">
        <f t="shared" ca="1" si="41"/>
        <v>Medium</v>
      </c>
    </row>
    <row r="171" spans="1:14" x14ac:dyDescent="0.25">
      <c r="A171">
        <f t="shared" si="28"/>
        <v>170</v>
      </c>
      <c r="B171">
        <f t="shared" si="29"/>
        <v>1171</v>
      </c>
      <c r="C171" t="str">
        <f t="shared" ca="1" si="30"/>
        <v>V3</v>
      </c>
      <c r="D171">
        <f t="shared" ca="1" si="31"/>
        <v>45</v>
      </c>
      <c r="E171">
        <f t="shared" ca="1" si="32"/>
        <v>31</v>
      </c>
      <c r="F171">
        <f t="shared" ca="1" si="33"/>
        <v>8</v>
      </c>
      <c r="G171">
        <f t="shared" ca="1" si="34"/>
        <v>0.25806451612903225</v>
      </c>
      <c r="H171">
        <f t="shared" ca="1" si="35"/>
        <v>4</v>
      </c>
      <c r="I171">
        <f t="shared" ca="1" si="36"/>
        <v>4</v>
      </c>
      <c r="J171">
        <f t="shared" ca="1" si="37"/>
        <v>0</v>
      </c>
      <c r="K171">
        <f t="shared" ca="1" si="38"/>
        <v>0</v>
      </c>
      <c r="L171">
        <f t="shared" ca="1" si="39"/>
        <v>0</v>
      </c>
      <c r="M171">
        <f t="shared" ca="1" si="40"/>
        <v>0</v>
      </c>
      <c r="N171" t="str">
        <f t="shared" ca="1" si="41"/>
        <v>Medium</v>
      </c>
    </row>
    <row r="172" spans="1:14" x14ac:dyDescent="0.25">
      <c r="A172">
        <f t="shared" si="28"/>
        <v>171</v>
      </c>
      <c r="B172">
        <f t="shared" si="29"/>
        <v>1172</v>
      </c>
      <c r="C172" t="str">
        <f t="shared" ca="1" si="30"/>
        <v>V3</v>
      </c>
      <c r="D172">
        <f t="shared" ca="1" si="31"/>
        <v>60</v>
      </c>
      <c r="E172">
        <f t="shared" ca="1" si="32"/>
        <v>53</v>
      </c>
      <c r="F172">
        <f t="shared" ca="1" si="33"/>
        <v>6</v>
      </c>
      <c r="G172">
        <f t="shared" ca="1" si="34"/>
        <v>0.11320754716981132</v>
      </c>
      <c r="H172">
        <f t="shared" ca="1" si="35"/>
        <v>4</v>
      </c>
      <c r="I172">
        <f t="shared" ca="1" si="36"/>
        <v>3</v>
      </c>
      <c r="J172">
        <f t="shared" ca="1" si="37"/>
        <v>0</v>
      </c>
      <c r="K172">
        <f t="shared" ca="1" si="38"/>
        <v>0</v>
      </c>
      <c r="L172">
        <f t="shared" ca="1" si="39"/>
        <v>0</v>
      </c>
      <c r="M172">
        <f t="shared" ca="1" si="40"/>
        <v>0</v>
      </c>
      <c r="N172" t="str">
        <f t="shared" ca="1" si="41"/>
        <v>Low</v>
      </c>
    </row>
    <row r="173" spans="1:14" x14ac:dyDescent="0.25">
      <c r="A173">
        <f t="shared" si="28"/>
        <v>172</v>
      </c>
      <c r="B173">
        <f t="shared" si="29"/>
        <v>1173</v>
      </c>
      <c r="C173" t="str">
        <f t="shared" ca="1" si="30"/>
        <v>V1</v>
      </c>
      <c r="D173">
        <f t="shared" ca="1" si="31"/>
        <v>45</v>
      </c>
      <c r="E173">
        <f t="shared" ca="1" si="32"/>
        <v>32</v>
      </c>
      <c r="F173">
        <f t="shared" ca="1" si="33"/>
        <v>2</v>
      </c>
      <c r="G173">
        <f t="shared" ca="1" si="34"/>
        <v>6.25E-2</v>
      </c>
      <c r="H173">
        <f t="shared" ca="1" si="35"/>
        <v>2</v>
      </c>
      <c r="I173">
        <f t="shared" ca="1" si="36"/>
        <v>4</v>
      </c>
      <c r="J173">
        <f t="shared" ca="1" si="37"/>
        <v>1</v>
      </c>
      <c r="K173">
        <f t="shared" ca="1" si="38"/>
        <v>0</v>
      </c>
      <c r="L173">
        <f t="shared" ca="1" si="39"/>
        <v>0</v>
      </c>
      <c r="M173">
        <f t="shared" ca="1" si="40"/>
        <v>1</v>
      </c>
      <c r="N173" t="str">
        <f t="shared" ca="1" si="41"/>
        <v>Low</v>
      </c>
    </row>
    <row r="174" spans="1:14" x14ac:dyDescent="0.25">
      <c r="A174">
        <f t="shared" si="28"/>
        <v>173</v>
      </c>
      <c r="B174">
        <f t="shared" si="29"/>
        <v>1174</v>
      </c>
      <c r="C174" t="str">
        <f t="shared" ca="1" si="30"/>
        <v>V3</v>
      </c>
      <c r="D174">
        <f t="shared" ca="1" si="31"/>
        <v>30</v>
      </c>
      <c r="E174">
        <f t="shared" ca="1" si="32"/>
        <v>20</v>
      </c>
      <c r="F174">
        <f t="shared" ca="1" si="33"/>
        <v>7</v>
      </c>
      <c r="G174">
        <f t="shared" ca="1" si="34"/>
        <v>0.35</v>
      </c>
      <c r="H174">
        <f t="shared" ca="1" si="35"/>
        <v>0</v>
      </c>
      <c r="I174">
        <f t="shared" ca="1" si="36"/>
        <v>2</v>
      </c>
      <c r="J174">
        <f t="shared" ca="1" si="37"/>
        <v>1</v>
      </c>
      <c r="K174">
        <f t="shared" ca="1" si="38"/>
        <v>0</v>
      </c>
      <c r="L174">
        <f t="shared" ca="1" si="39"/>
        <v>1</v>
      </c>
      <c r="M174">
        <f t="shared" ca="1" si="40"/>
        <v>1</v>
      </c>
      <c r="N174" t="str">
        <f t="shared" ca="1" si="41"/>
        <v>Medium</v>
      </c>
    </row>
    <row r="175" spans="1:14" x14ac:dyDescent="0.25">
      <c r="A175">
        <f t="shared" si="28"/>
        <v>174</v>
      </c>
      <c r="B175">
        <f t="shared" si="29"/>
        <v>1175</v>
      </c>
      <c r="C175" t="str">
        <f t="shared" ca="1" si="30"/>
        <v>V1</v>
      </c>
      <c r="D175">
        <f t="shared" ca="1" si="31"/>
        <v>60</v>
      </c>
      <c r="E175">
        <f t="shared" ca="1" si="32"/>
        <v>42</v>
      </c>
      <c r="F175">
        <f t="shared" ca="1" si="33"/>
        <v>5</v>
      </c>
      <c r="G175">
        <f t="shared" ca="1" si="34"/>
        <v>0.11904761904761904</v>
      </c>
      <c r="H175">
        <f t="shared" ca="1" si="35"/>
        <v>1</v>
      </c>
      <c r="I175">
        <f t="shared" ca="1" si="36"/>
        <v>2</v>
      </c>
      <c r="J175">
        <f t="shared" ca="1" si="37"/>
        <v>1</v>
      </c>
      <c r="K175">
        <f t="shared" ca="1" si="38"/>
        <v>0</v>
      </c>
      <c r="L175">
        <f t="shared" ca="1" si="39"/>
        <v>0</v>
      </c>
      <c r="M175">
        <f t="shared" ca="1" si="40"/>
        <v>1</v>
      </c>
      <c r="N175" t="str">
        <f t="shared" ca="1" si="41"/>
        <v>Low</v>
      </c>
    </row>
    <row r="176" spans="1:14" x14ac:dyDescent="0.25">
      <c r="A176">
        <f t="shared" si="28"/>
        <v>175</v>
      </c>
      <c r="B176">
        <f t="shared" si="29"/>
        <v>1176</v>
      </c>
      <c r="C176" t="str">
        <f t="shared" ca="1" si="30"/>
        <v>V3</v>
      </c>
      <c r="D176">
        <f t="shared" ca="1" si="31"/>
        <v>60</v>
      </c>
      <c r="E176">
        <f t="shared" ca="1" si="32"/>
        <v>54</v>
      </c>
      <c r="F176">
        <f t="shared" ca="1" si="33"/>
        <v>1</v>
      </c>
      <c r="G176">
        <f t="shared" ca="1" si="34"/>
        <v>1.8518518518518517E-2</v>
      </c>
      <c r="H176">
        <f t="shared" ca="1" si="35"/>
        <v>6</v>
      </c>
      <c r="I176">
        <f t="shared" ca="1" si="36"/>
        <v>3</v>
      </c>
      <c r="J176">
        <f t="shared" ca="1" si="37"/>
        <v>0</v>
      </c>
      <c r="K176">
        <f t="shared" ca="1" si="38"/>
        <v>0</v>
      </c>
      <c r="L176">
        <f t="shared" ca="1" si="39"/>
        <v>0</v>
      </c>
      <c r="M176">
        <f t="shared" ca="1" si="40"/>
        <v>0</v>
      </c>
      <c r="N176" t="str">
        <f t="shared" ca="1" si="41"/>
        <v>Low</v>
      </c>
    </row>
    <row r="177" spans="1:14" x14ac:dyDescent="0.25">
      <c r="A177">
        <f t="shared" si="28"/>
        <v>176</v>
      </c>
      <c r="B177">
        <f t="shared" si="29"/>
        <v>1177</v>
      </c>
      <c r="C177" t="str">
        <f t="shared" ca="1" si="30"/>
        <v>V3</v>
      </c>
      <c r="D177">
        <f t="shared" ca="1" si="31"/>
        <v>45</v>
      </c>
      <c r="E177">
        <f t="shared" ca="1" si="32"/>
        <v>32</v>
      </c>
      <c r="F177">
        <f t="shared" ca="1" si="33"/>
        <v>2</v>
      </c>
      <c r="G177">
        <f t="shared" ca="1" si="34"/>
        <v>6.25E-2</v>
      </c>
      <c r="H177">
        <f t="shared" ca="1" si="35"/>
        <v>2</v>
      </c>
      <c r="I177">
        <f t="shared" ca="1" si="36"/>
        <v>3</v>
      </c>
      <c r="J177">
        <f t="shared" ca="1" si="37"/>
        <v>0</v>
      </c>
      <c r="K177">
        <f t="shared" ca="1" si="38"/>
        <v>0</v>
      </c>
      <c r="L177">
        <f t="shared" ca="1" si="39"/>
        <v>0</v>
      </c>
      <c r="M177">
        <f t="shared" ca="1" si="40"/>
        <v>0</v>
      </c>
      <c r="N177" t="str">
        <f t="shared" ca="1" si="41"/>
        <v>Low</v>
      </c>
    </row>
    <row r="178" spans="1:14" x14ac:dyDescent="0.25">
      <c r="A178">
        <f t="shared" si="28"/>
        <v>177</v>
      </c>
      <c r="B178">
        <f t="shared" si="29"/>
        <v>1178</v>
      </c>
      <c r="C178" t="str">
        <f t="shared" ca="1" si="30"/>
        <v>V2</v>
      </c>
      <c r="D178">
        <f t="shared" ca="1" si="31"/>
        <v>30</v>
      </c>
      <c r="E178">
        <f t="shared" ca="1" si="32"/>
        <v>23</v>
      </c>
      <c r="F178">
        <f t="shared" ca="1" si="33"/>
        <v>1</v>
      </c>
      <c r="G178">
        <f t="shared" ca="1" si="34"/>
        <v>4.3478260869565216E-2</v>
      </c>
      <c r="H178">
        <f t="shared" ca="1" si="35"/>
        <v>2</v>
      </c>
      <c r="I178">
        <f t="shared" ca="1" si="36"/>
        <v>0</v>
      </c>
      <c r="J178">
        <f t="shared" ca="1" si="37"/>
        <v>0</v>
      </c>
      <c r="K178">
        <f t="shared" ca="1" si="38"/>
        <v>0</v>
      </c>
      <c r="L178">
        <f t="shared" ca="1" si="39"/>
        <v>0</v>
      </c>
      <c r="M178">
        <f t="shared" ca="1" si="40"/>
        <v>0</v>
      </c>
      <c r="N178" t="str">
        <f t="shared" ca="1" si="41"/>
        <v>Low</v>
      </c>
    </row>
    <row r="179" spans="1:14" x14ac:dyDescent="0.25">
      <c r="A179">
        <f t="shared" si="28"/>
        <v>178</v>
      </c>
      <c r="B179">
        <f t="shared" si="29"/>
        <v>1179</v>
      </c>
      <c r="C179" t="str">
        <f t="shared" ca="1" si="30"/>
        <v>V2</v>
      </c>
      <c r="D179">
        <f t="shared" ca="1" si="31"/>
        <v>60</v>
      </c>
      <c r="E179">
        <f t="shared" ca="1" si="32"/>
        <v>24</v>
      </c>
      <c r="F179">
        <f t="shared" ca="1" si="33"/>
        <v>3</v>
      </c>
      <c r="G179">
        <f t="shared" ca="1" si="34"/>
        <v>0.125</v>
      </c>
      <c r="H179">
        <f t="shared" ca="1" si="35"/>
        <v>3</v>
      </c>
      <c r="I179">
        <f t="shared" ca="1" si="36"/>
        <v>3</v>
      </c>
      <c r="J179">
        <f t="shared" ca="1" si="37"/>
        <v>0</v>
      </c>
      <c r="K179">
        <f t="shared" ca="1" si="38"/>
        <v>0</v>
      </c>
      <c r="L179">
        <f t="shared" ca="1" si="39"/>
        <v>0</v>
      </c>
      <c r="M179">
        <f t="shared" ca="1" si="40"/>
        <v>0</v>
      </c>
      <c r="N179" t="str">
        <f t="shared" ca="1" si="41"/>
        <v>Low</v>
      </c>
    </row>
    <row r="180" spans="1:14" x14ac:dyDescent="0.25">
      <c r="A180">
        <f t="shared" si="28"/>
        <v>179</v>
      </c>
      <c r="B180">
        <f t="shared" si="29"/>
        <v>1180</v>
      </c>
      <c r="C180" t="str">
        <f t="shared" ca="1" si="30"/>
        <v>V2</v>
      </c>
      <c r="D180">
        <f t="shared" ca="1" si="31"/>
        <v>60</v>
      </c>
      <c r="E180">
        <f t="shared" ca="1" si="32"/>
        <v>53</v>
      </c>
      <c r="F180">
        <f t="shared" ca="1" si="33"/>
        <v>3</v>
      </c>
      <c r="G180">
        <f t="shared" ca="1" si="34"/>
        <v>5.6603773584905662E-2</v>
      </c>
      <c r="H180">
        <f t="shared" ca="1" si="35"/>
        <v>3</v>
      </c>
      <c r="I180">
        <f t="shared" ca="1" si="36"/>
        <v>2</v>
      </c>
      <c r="J180">
        <f t="shared" ca="1" si="37"/>
        <v>1</v>
      </c>
      <c r="K180">
        <f t="shared" ca="1" si="38"/>
        <v>0</v>
      </c>
      <c r="L180">
        <f t="shared" ca="1" si="39"/>
        <v>0</v>
      </c>
      <c r="M180">
        <f t="shared" ca="1" si="40"/>
        <v>1</v>
      </c>
      <c r="N180" t="str">
        <f t="shared" ca="1" si="41"/>
        <v>Low</v>
      </c>
    </row>
    <row r="181" spans="1:14" x14ac:dyDescent="0.25">
      <c r="A181">
        <f t="shared" si="28"/>
        <v>180</v>
      </c>
      <c r="B181">
        <f t="shared" si="29"/>
        <v>1181</v>
      </c>
      <c r="C181" t="str">
        <f t="shared" ca="1" si="30"/>
        <v>V2</v>
      </c>
      <c r="D181">
        <f t="shared" ca="1" si="31"/>
        <v>30</v>
      </c>
      <c r="E181">
        <f t="shared" ca="1" si="32"/>
        <v>20</v>
      </c>
      <c r="F181">
        <f t="shared" ca="1" si="33"/>
        <v>7</v>
      </c>
      <c r="G181">
        <f t="shared" ca="1" si="34"/>
        <v>0.35</v>
      </c>
      <c r="H181">
        <f t="shared" ca="1" si="35"/>
        <v>6</v>
      </c>
      <c r="I181">
        <f t="shared" ca="1" si="36"/>
        <v>4</v>
      </c>
      <c r="J181">
        <f t="shared" ca="1" si="37"/>
        <v>0</v>
      </c>
      <c r="K181">
        <f t="shared" ca="1" si="38"/>
        <v>0</v>
      </c>
      <c r="L181">
        <f t="shared" ca="1" si="39"/>
        <v>1</v>
      </c>
      <c r="M181">
        <f t="shared" ca="1" si="40"/>
        <v>1</v>
      </c>
      <c r="N181" t="str">
        <f t="shared" ca="1" si="41"/>
        <v>Medium</v>
      </c>
    </row>
    <row r="182" spans="1:14" x14ac:dyDescent="0.25">
      <c r="A182">
        <f t="shared" si="28"/>
        <v>181</v>
      </c>
      <c r="B182">
        <f t="shared" si="29"/>
        <v>1182</v>
      </c>
      <c r="C182" t="str">
        <f t="shared" ca="1" si="30"/>
        <v>V1</v>
      </c>
      <c r="D182">
        <f t="shared" ca="1" si="31"/>
        <v>45</v>
      </c>
      <c r="E182">
        <f t="shared" ca="1" si="32"/>
        <v>25</v>
      </c>
      <c r="F182">
        <f t="shared" ca="1" si="33"/>
        <v>5</v>
      </c>
      <c r="G182">
        <f t="shared" ca="1" si="34"/>
        <v>0.2</v>
      </c>
      <c r="H182">
        <f t="shared" ca="1" si="35"/>
        <v>5</v>
      </c>
      <c r="I182">
        <f t="shared" ca="1" si="36"/>
        <v>3</v>
      </c>
      <c r="J182">
        <f t="shared" ca="1" si="37"/>
        <v>0</v>
      </c>
      <c r="K182">
        <f t="shared" ca="1" si="38"/>
        <v>0</v>
      </c>
      <c r="L182">
        <f t="shared" ca="1" si="39"/>
        <v>0</v>
      </c>
      <c r="M182">
        <f t="shared" ca="1" si="40"/>
        <v>1</v>
      </c>
      <c r="N182" t="str">
        <f t="shared" ca="1" si="41"/>
        <v>Medium</v>
      </c>
    </row>
    <row r="183" spans="1:14" x14ac:dyDescent="0.25">
      <c r="A183">
        <f t="shared" si="28"/>
        <v>182</v>
      </c>
      <c r="B183">
        <f t="shared" si="29"/>
        <v>1183</v>
      </c>
      <c r="C183" t="str">
        <f t="shared" ca="1" si="30"/>
        <v>V1</v>
      </c>
      <c r="D183">
        <f t="shared" ca="1" si="31"/>
        <v>30</v>
      </c>
      <c r="E183">
        <f t="shared" ca="1" si="32"/>
        <v>18</v>
      </c>
      <c r="F183">
        <f t="shared" ca="1" si="33"/>
        <v>8</v>
      </c>
      <c r="G183">
        <f t="shared" ca="1" si="34"/>
        <v>0.44444444444444442</v>
      </c>
      <c r="H183">
        <f t="shared" ca="1" si="35"/>
        <v>4</v>
      </c>
      <c r="I183">
        <f t="shared" ca="1" si="36"/>
        <v>2</v>
      </c>
      <c r="J183">
        <f t="shared" ca="1" si="37"/>
        <v>1</v>
      </c>
      <c r="K183">
        <f t="shared" ca="1" si="38"/>
        <v>0</v>
      </c>
      <c r="L183">
        <f t="shared" ca="1" si="39"/>
        <v>1</v>
      </c>
      <c r="M183">
        <f t="shared" ca="1" si="40"/>
        <v>1</v>
      </c>
      <c r="N183" t="str">
        <f t="shared" ca="1" si="41"/>
        <v>Medium</v>
      </c>
    </row>
    <row r="184" spans="1:14" x14ac:dyDescent="0.25">
      <c r="A184">
        <f t="shared" si="28"/>
        <v>183</v>
      </c>
      <c r="B184">
        <f t="shared" si="29"/>
        <v>1184</v>
      </c>
      <c r="C184" t="str">
        <f t="shared" ca="1" si="30"/>
        <v>V2</v>
      </c>
      <c r="D184">
        <f t="shared" ca="1" si="31"/>
        <v>45</v>
      </c>
      <c r="E184">
        <f t="shared" ca="1" si="32"/>
        <v>34</v>
      </c>
      <c r="F184">
        <f t="shared" ca="1" si="33"/>
        <v>3</v>
      </c>
      <c r="G184">
        <f t="shared" ca="1" si="34"/>
        <v>8.8235294117647065E-2</v>
      </c>
      <c r="H184">
        <f t="shared" ca="1" si="35"/>
        <v>2</v>
      </c>
      <c r="I184">
        <f t="shared" ca="1" si="36"/>
        <v>2</v>
      </c>
      <c r="J184">
        <f t="shared" ca="1" si="37"/>
        <v>1</v>
      </c>
      <c r="K184">
        <f t="shared" ca="1" si="38"/>
        <v>0</v>
      </c>
      <c r="L184">
        <f t="shared" ca="1" si="39"/>
        <v>0</v>
      </c>
      <c r="M184">
        <f t="shared" ca="1" si="40"/>
        <v>1</v>
      </c>
      <c r="N184" t="str">
        <f t="shared" ca="1" si="41"/>
        <v>Low</v>
      </c>
    </row>
    <row r="185" spans="1:14" x14ac:dyDescent="0.25">
      <c r="A185">
        <f t="shared" si="28"/>
        <v>184</v>
      </c>
      <c r="B185">
        <f t="shared" si="29"/>
        <v>1185</v>
      </c>
      <c r="C185" t="str">
        <f t="shared" ca="1" si="30"/>
        <v>V1</v>
      </c>
      <c r="D185">
        <f t="shared" ca="1" si="31"/>
        <v>45</v>
      </c>
      <c r="E185">
        <f t="shared" ca="1" si="32"/>
        <v>26</v>
      </c>
      <c r="F185">
        <f t="shared" ca="1" si="33"/>
        <v>8</v>
      </c>
      <c r="G185">
        <f t="shared" ca="1" si="34"/>
        <v>0.30769230769230771</v>
      </c>
      <c r="H185">
        <f t="shared" ca="1" si="35"/>
        <v>5</v>
      </c>
      <c r="I185">
        <f t="shared" ca="1" si="36"/>
        <v>0</v>
      </c>
      <c r="J185">
        <f t="shared" ca="1" si="37"/>
        <v>0</v>
      </c>
      <c r="K185">
        <f t="shared" ca="1" si="38"/>
        <v>0</v>
      </c>
      <c r="L185">
        <f t="shared" ca="1" si="39"/>
        <v>1</v>
      </c>
      <c r="M185">
        <f t="shared" ca="1" si="40"/>
        <v>0</v>
      </c>
      <c r="N185" t="str">
        <f t="shared" ca="1" si="41"/>
        <v>Medium</v>
      </c>
    </row>
    <row r="186" spans="1:14" x14ac:dyDescent="0.25">
      <c r="A186">
        <f t="shared" si="28"/>
        <v>185</v>
      </c>
      <c r="B186">
        <f t="shared" si="29"/>
        <v>1186</v>
      </c>
      <c r="C186" t="str">
        <f t="shared" ca="1" si="30"/>
        <v>V2</v>
      </c>
      <c r="D186">
        <f t="shared" ca="1" si="31"/>
        <v>60</v>
      </c>
      <c r="E186">
        <f t="shared" ca="1" si="32"/>
        <v>37</v>
      </c>
      <c r="F186">
        <f t="shared" ca="1" si="33"/>
        <v>6</v>
      </c>
      <c r="G186">
        <f t="shared" ca="1" si="34"/>
        <v>0.16216216216216217</v>
      </c>
      <c r="H186">
        <f t="shared" ca="1" si="35"/>
        <v>2</v>
      </c>
      <c r="I186">
        <f t="shared" ca="1" si="36"/>
        <v>3</v>
      </c>
      <c r="J186">
        <f t="shared" ca="1" si="37"/>
        <v>0</v>
      </c>
      <c r="K186">
        <f t="shared" ca="1" si="38"/>
        <v>0</v>
      </c>
      <c r="L186">
        <f t="shared" ca="1" si="39"/>
        <v>0</v>
      </c>
      <c r="M186">
        <f t="shared" ca="1" si="40"/>
        <v>1</v>
      </c>
      <c r="N186" t="str">
        <f t="shared" ca="1" si="41"/>
        <v>Low</v>
      </c>
    </row>
    <row r="187" spans="1:14" x14ac:dyDescent="0.25">
      <c r="A187">
        <f t="shared" si="28"/>
        <v>186</v>
      </c>
      <c r="B187">
        <f t="shared" si="29"/>
        <v>1187</v>
      </c>
      <c r="C187" t="str">
        <f t="shared" ca="1" si="30"/>
        <v>V1</v>
      </c>
      <c r="D187">
        <f t="shared" ca="1" si="31"/>
        <v>30</v>
      </c>
      <c r="E187">
        <f t="shared" ca="1" si="32"/>
        <v>19</v>
      </c>
      <c r="F187">
        <f t="shared" ca="1" si="33"/>
        <v>4</v>
      </c>
      <c r="G187">
        <f t="shared" ca="1" si="34"/>
        <v>0.21052631578947367</v>
      </c>
      <c r="H187">
        <f t="shared" ca="1" si="35"/>
        <v>2</v>
      </c>
      <c r="I187">
        <f t="shared" ca="1" si="36"/>
        <v>0</v>
      </c>
      <c r="J187">
        <f t="shared" ca="1" si="37"/>
        <v>0</v>
      </c>
      <c r="K187">
        <f t="shared" ca="1" si="38"/>
        <v>0</v>
      </c>
      <c r="L187">
        <f t="shared" ca="1" si="39"/>
        <v>0</v>
      </c>
      <c r="M187">
        <f t="shared" ca="1" si="40"/>
        <v>1</v>
      </c>
      <c r="N187" t="str">
        <f t="shared" ca="1" si="41"/>
        <v>Medium</v>
      </c>
    </row>
    <row r="188" spans="1:14" x14ac:dyDescent="0.25">
      <c r="A188">
        <f t="shared" si="28"/>
        <v>187</v>
      </c>
      <c r="B188">
        <f t="shared" si="29"/>
        <v>1188</v>
      </c>
      <c r="C188" t="str">
        <f t="shared" ca="1" si="30"/>
        <v>V1</v>
      </c>
      <c r="D188">
        <f t="shared" ca="1" si="31"/>
        <v>60</v>
      </c>
      <c r="E188">
        <f t="shared" ca="1" si="32"/>
        <v>31</v>
      </c>
      <c r="F188">
        <f t="shared" ca="1" si="33"/>
        <v>2</v>
      </c>
      <c r="G188">
        <f t="shared" ca="1" si="34"/>
        <v>6.4516129032258063E-2</v>
      </c>
      <c r="H188">
        <f t="shared" ca="1" si="35"/>
        <v>0</v>
      </c>
      <c r="I188">
        <f t="shared" ca="1" si="36"/>
        <v>0</v>
      </c>
      <c r="J188">
        <f t="shared" ca="1" si="37"/>
        <v>0</v>
      </c>
      <c r="K188">
        <f t="shared" ca="1" si="38"/>
        <v>0</v>
      </c>
      <c r="L188">
        <f t="shared" ca="1" si="39"/>
        <v>0</v>
      </c>
      <c r="M188">
        <f t="shared" ca="1" si="40"/>
        <v>1</v>
      </c>
      <c r="N188" t="str">
        <f t="shared" ca="1" si="41"/>
        <v>Low</v>
      </c>
    </row>
    <row r="189" spans="1:14" x14ac:dyDescent="0.25">
      <c r="A189">
        <f t="shared" si="28"/>
        <v>188</v>
      </c>
      <c r="B189">
        <f t="shared" si="29"/>
        <v>1189</v>
      </c>
      <c r="C189" t="str">
        <f t="shared" ca="1" si="30"/>
        <v>V1</v>
      </c>
      <c r="D189">
        <f t="shared" ca="1" si="31"/>
        <v>60</v>
      </c>
      <c r="E189">
        <f t="shared" ca="1" si="32"/>
        <v>44</v>
      </c>
      <c r="F189">
        <f t="shared" ca="1" si="33"/>
        <v>6</v>
      </c>
      <c r="G189">
        <f t="shared" ca="1" si="34"/>
        <v>0.13636363636363635</v>
      </c>
      <c r="H189">
        <f t="shared" ca="1" si="35"/>
        <v>1</v>
      </c>
      <c r="I189">
        <f t="shared" ca="1" si="36"/>
        <v>0</v>
      </c>
      <c r="J189">
        <f t="shared" ca="1" si="37"/>
        <v>0</v>
      </c>
      <c r="K189">
        <f t="shared" ca="1" si="38"/>
        <v>0</v>
      </c>
      <c r="L189">
        <f t="shared" ca="1" si="39"/>
        <v>0</v>
      </c>
      <c r="M189">
        <f t="shared" ca="1" si="40"/>
        <v>1</v>
      </c>
      <c r="N189" t="str">
        <f t="shared" ca="1" si="41"/>
        <v>Low</v>
      </c>
    </row>
    <row r="190" spans="1:14" x14ac:dyDescent="0.25">
      <c r="A190">
        <f t="shared" si="28"/>
        <v>189</v>
      </c>
      <c r="B190">
        <f t="shared" si="29"/>
        <v>1190</v>
      </c>
      <c r="C190" t="str">
        <f t="shared" ca="1" si="30"/>
        <v>V1</v>
      </c>
      <c r="D190">
        <f t="shared" ca="1" si="31"/>
        <v>30</v>
      </c>
      <c r="E190">
        <f t="shared" ca="1" si="32"/>
        <v>23</v>
      </c>
      <c r="F190">
        <f t="shared" ca="1" si="33"/>
        <v>3</v>
      </c>
      <c r="G190">
        <f t="shared" ca="1" si="34"/>
        <v>0.13043478260869565</v>
      </c>
      <c r="H190">
        <f t="shared" ca="1" si="35"/>
        <v>2</v>
      </c>
      <c r="I190">
        <f t="shared" ca="1" si="36"/>
        <v>3</v>
      </c>
      <c r="J190">
        <f t="shared" ca="1" si="37"/>
        <v>1</v>
      </c>
      <c r="K190">
        <f t="shared" ca="1" si="38"/>
        <v>0</v>
      </c>
      <c r="L190">
        <f t="shared" ca="1" si="39"/>
        <v>0</v>
      </c>
      <c r="M190">
        <f t="shared" ca="1" si="40"/>
        <v>1</v>
      </c>
      <c r="N190" t="str">
        <f t="shared" ca="1" si="41"/>
        <v>Low</v>
      </c>
    </row>
    <row r="191" spans="1:14" x14ac:dyDescent="0.25">
      <c r="A191">
        <f t="shared" si="28"/>
        <v>190</v>
      </c>
      <c r="B191">
        <f t="shared" si="29"/>
        <v>1191</v>
      </c>
      <c r="C191" t="str">
        <f t="shared" ca="1" si="30"/>
        <v>V2</v>
      </c>
      <c r="D191">
        <f t="shared" ca="1" si="31"/>
        <v>45</v>
      </c>
      <c r="E191">
        <f t="shared" ca="1" si="32"/>
        <v>28</v>
      </c>
      <c r="F191">
        <f t="shared" ca="1" si="33"/>
        <v>7</v>
      </c>
      <c r="G191">
        <f t="shared" ca="1" si="34"/>
        <v>0.25</v>
      </c>
      <c r="H191">
        <f t="shared" ca="1" si="35"/>
        <v>1</v>
      </c>
      <c r="I191">
        <f t="shared" ca="1" si="36"/>
        <v>1</v>
      </c>
      <c r="J191">
        <f t="shared" ca="1" si="37"/>
        <v>0</v>
      </c>
      <c r="K191">
        <f t="shared" ca="1" si="38"/>
        <v>0</v>
      </c>
      <c r="L191">
        <f t="shared" ca="1" si="39"/>
        <v>0</v>
      </c>
      <c r="M191">
        <f t="shared" ca="1" si="40"/>
        <v>1</v>
      </c>
      <c r="N191" t="str">
        <f t="shared" ca="1" si="41"/>
        <v>Medium</v>
      </c>
    </row>
    <row r="192" spans="1:14" x14ac:dyDescent="0.25">
      <c r="A192">
        <f t="shared" si="28"/>
        <v>191</v>
      </c>
      <c r="B192">
        <f t="shared" si="29"/>
        <v>1192</v>
      </c>
      <c r="C192" t="str">
        <f t="shared" ca="1" si="30"/>
        <v>V2</v>
      </c>
      <c r="D192">
        <f t="shared" ca="1" si="31"/>
        <v>30</v>
      </c>
      <c r="E192">
        <f t="shared" ca="1" si="32"/>
        <v>26</v>
      </c>
      <c r="F192">
        <f t="shared" ca="1" si="33"/>
        <v>7</v>
      </c>
      <c r="G192">
        <f t="shared" ca="1" si="34"/>
        <v>0.26923076923076922</v>
      </c>
      <c r="H192">
        <f t="shared" ca="1" si="35"/>
        <v>2</v>
      </c>
      <c r="I192">
        <f t="shared" ca="1" si="36"/>
        <v>3</v>
      </c>
      <c r="J192">
        <f t="shared" ca="1" si="37"/>
        <v>1</v>
      </c>
      <c r="K192">
        <f t="shared" ca="1" si="38"/>
        <v>0</v>
      </c>
      <c r="L192">
        <f t="shared" ca="1" si="39"/>
        <v>0</v>
      </c>
      <c r="M192">
        <f t="shared" ca="1" si="40"/>
        <v>1</v>
      </c>
      <c r="N192" t="str">
        <f t="shared" ca="1" si="41"/>
        <v>Medium</v>
      </c>
    </row>
    <row r="193" spans="1:14" x14ac:dyDescent="0.25">
      <c r="A193">
        <f t="shared" si="28"/>
        <v>192</v>
      </c>
      <c r="B193">
        <f t="shared" si="29"/>
        <v>1193</v>
      </c>
      <c r="C193" t="str">
        <f t="shared" ca="1" si="30"/>
        <v>V2</v>
      </c>
      <c r="D193">
        <f t="shared" ca="1" si="31"/>
        <v>60</v>
      </c>
      <c r="E193">
        <f t="shared" ca="1" si="32"/>
        <v>45</v>
      </c>
      <c r="F193">
        <f t="shared" ca="1" si="33"/>
        <v>4</v>
      </c>
      <c r="G193">
        <f t="shared" ca="1" si="34"/>
        <v>8.8888888888888892E-2</v>
      </c>
      <c r="H193">
        <f t="shared" ca="1" si="35"/>
        <v>3</v>
      </c>
      <c r="I193">
        <f t="shared" ca="1" si="36"/>
        <v>2</v>
      </c>
      <c r="J193">
        <f t="shared" ca="1" si="37"/>
        <v>1</v>
      </c>
      <c r="K193">
        <f t="shared" ca="1" si="38"/>
        <v>0</v>
      </c>
      <c r="L193">
        <f t="shared" ca="1" si="39"/>
        <v>0</v>
      </c>
      <c r="M193">
        <f t="shared" ca="1" si="40"/>
        <v>0</v>
      </c>
      <c r="N193" t="str">
        <f t="shared" ca="1" si="41"/>
        <v>Low</v>
      </c>
    </row>
    <row r="194" spans="1:14" x14ac:dyDescent="0.25">
      <c r="A194">
        <f t="shared" si="28"/>
        <v>193</v>
      </c>
      <c r="B194">
        <f t="shared" si="29"/>
        <v>1194</v>
      </c>
      <c r="C194" t="str">
        <f t="shared" ca="1" si="30"/>
        <v>V3</v>
      </c>
      <c r="D194">
        <f t="shared" ca="1" si="31"/>
        <v>60</v>
      </c>
      <c r="E194">
        <f t="shared" ca="1" si="32"/>
        <v>51</v>
      </c>
      <c r="F194">
        <f t="shared" ca="1" si="33"/>
        <v>8</v>
      </c>
      <c r="G194">
        <f t="shared" ca="1" si="34"/>
        <v>0.15686274509803921</v>
      </c>
      <c r="H194">
        <f t="shared" ca="1" si="35"/>
        <v>6</v>
      </c>
      <c r="I194">
        <f t="shared" ca="1" si="36"/>
        <v>3</v>
      </c>
      <c r="J194">
        <f t="shared" ca="1" si="37"/>
        <v>1</v>
      </c>
      <c r="K194">
        <f t="shared" ca="1" si="38"/>
        <v>0</v>
      </c>
      <c r="L194">
        <f t="shared" ca="1" si="39"/>
        <v>0</v>
      </c>
      <c r="M194">
        <f t="shared" ca="1" si="40"/>
        <v>0</v>
      </c>
      <c r="N194" t="str">
        <f t="shared" ca="1" si="41"/>
        <v>Low</v>
      </c>
    </row>
    <row r="195" spans="1:14" x14ac:dyDescent="0.25">
      <c r="A195">
        <f t="shared" ref="A195:A258" si="42">ROW()-1</f>
        <v>194</v>
      </c>
      <c r="B195">
        <f t="shared" ref="B195:B258" si="43">1000 + ROW()</f>
        <v>1195</v>
      </c>
      <c r="C195" t="str">
        <f t="shared" ref="C195:C258" ca="1" si="44">CHOOSE(RANDBETWEEN(1,3),"V1","V2","V3")</f>
        <v>V3</v>
      </c>
      <c r="D195">
        <f t="shared" ref="D195:D258" ca="1" si="45">CHOOSE(RANDBETWEEN(1,3),30,45,60)</f>
        <v>45</v>
      </c>
      <c r="E195">
        <f t="shared" ref="E195:E258" ca="1" si="46">RANDBETWEEN(D195*0.4,D195)</f>
        <v>28</v>
      </c>
      <c r="F195">
        <f t="shared" ref="F195:F258" ca="1" si="47">RANDBETWEEN(1,8)</f>
        <v>1</v>
      </c>
      <c r="G195">
        <f t="shared" ref="G195:G258" ca="1" si="48">F195/E195</f>
        <v>3.5714285714285712E-2</v>
      </c>
      <c r="H195">
        <f t="shared" ref="H195:H258" ca="1" si="49">RANDBETWEEN(0,6)</f>
        <v>5</v>
      </c>
      <c r="I195">
        <f t="shared" ref="I195:I258" ca="1" si="50">RANDBETWEEN(0,4)</f>
        <v>2</v>
      </c>
      <c r="J195">
        <f t="shared" ref="J195:J258" ca="1" si="51">IF(I195&gt;0,RANDBETWEEN(0,1),0)</f>
        <v>0</v>
      </c>
      <c r="K195">
        <f t="shared" ref="K195:K258" ca="1" si="52">IF(E195/D195&gt;0.9,1,0)</f>
        <v>0</v>
      </c>
      <c r="L195">
        <f t="shared" ref="L195:L258" ca="1" si="53">IF(G195&gt;0.6,1,IF(G195&gt;0.3,RANDBETWEEN(0,1),0))</f>
        <v>0</v>
      </c>
      <c r="M195">
        <f t="shared" ref="M195:M258" ca="1" si="54">IF(H195&gt;=5, IF(RAND()&lt;0.1,1,0),
   IF(H195&gt;=3, IF(RAND()&lt;0.4,1,0),
      IF(H195&gt;=1, IF(RAND()&lt;0.7,1,0),
         1)))</f>
        <v>0</v>
      </c>
      <c r="N195" t="str">
        <f t="shared" ref="N195:N258" ca="1" si="55">IF(G195&lt;0.2,"Low",IF(G195&lt;=0.5,"Medium","High"))</f>
        <v>Low</v>
      </c>
    </row>
    <row r="196" spans="1:14" x14ac:dyDescent="0.25">
      <c r="A196">
        <f t="shared" si="42"/>
        <v>195</v>
      </c>
      <c r="B196">
        <f t="shared" si="43"/>
        <v>1196</v>
      </c>
      <c r="C196" t="str">
        <f t="shared" ca="1" si="44"/>
        <v>V3</v>
      </c>
      <c r="D196">
        <f t="shared" ca="1" si="45"/>
        <v>45</v>
      </c>
      <c r="E196">
        <f t="shared" ca="1" si="46"/>
        <v>31</v>
      </c>
      <c r="F196">
        <f t="shared" ca="1" si="47"/>
        <v>8</v>
      </c>
      <c r="G196">
        <f t="shared" ca="1" si="48"/>
        <v>0.25806451612903225</v>
      </c>
      <c r="H196">
        <f t="shared" ca="1" si="49"/>
        <v>2</v>
      </c>
      <c r="I196">
        <f t="shared" ca="1" si="50"/>
        <v>2</v>
      </c>
      <c r="J196">
        <f t="shared" ca="1" si="51"/>
        <v>1</v>
      </c>
      <c r="K196">
        <f t="shared" ca="1" si="52"/>
        <v>0</v>
      </c>
      <c r="L196">
        <f t="shared" ca="1" si="53"/>
        <v>0</v>
      </c>
      <c r="M196">
        <f t="shared" ca="1" si="54"/>
        <v>0</v>
      </c>
      <c r="N196" t="str">
        <f t="shared" ca="1" si="55"/>
        <v>Medium</v>
      </c>
    </row>
    <row r="197" spans="1:14" x14ac:dyDescent="0.25">
      <c r="A197">
        <f t="shared" si="42"/>
        <v>196</v>
      </c>
      <c r="B197">
        <f t="shared" si="43"/>
        <v>1197</v>
      </c>
      <c r="C197" t="str">
        <f t="shared" ca="1" si="44"/>
        <v>V1</v>
      </c>
      <c r="D197">
        <f t="shared" ca="1" si="45"/>
        <v>45</v>
      </c>
      <c r="E197">
        <f t="shared" ca="1" si="46"/>
        <v>38</v>
      </c>
      <c r="F197">
        <f t="shared" ca="1" si="47"/>
        <v>7</v>
      </c>
      <c r="G197">
        <f t="shared" ca="1" si="48"/>
        <v>0.18421052631578946</v>
      </c>
      <c r="H197">
        <f t="shared" ca="1" si="49"/>
        <v>0</v>
      </c>
      <c r="I197">
        <f t="shared" ca="1" si="50"/>
        <v>0</v>
      </c>
      <c r="J197">
        <f t="shared" ca="1" si="51"/>
        <v>0</v>
      </c>
      <c r="K197">
        <f t="shared" ca="1" si="52"/>
        <v>0</v>
      </c>
      <c r="L197">
        <f t="shared" ca="1" si="53"/>
        <v>0</v>
      </c>
      <c r="M197">
        <f t="shared" ca="1" si="54"/>
        <v>1</v>
      </c>
      <c r="N197" t="str">
        <f t="shared" ca="1" si="55"/>
        <v>Low</v>
      </c>
    </row>
    <row r="198" spans="1:14" x14ac:dyDescent="0.25">
      <c r="A198">
        <f t="shared" si="42"/>
        <v>197</v>
      </c>
      <c r="B198">
        <f t="shared" si="43"/>
        <v>1198</v>
      </c>
      <c r="C198" t="str">
        <f t="shared" ca="1" si="44"/>
        <v>V2</v>
      </c>
      <c r="D198">
        <f t="shared" ca="1" si="45"/>
        <v>60</v>
      </c>
      <c r="E198">
        <f t="shared" ca="1" si="46"/>
        <v>50</v>
      </c>
      <c r="F198">
        <f t="shared" ca="1" si="47"/>
        <v>6</v>
      </c>
      <c r="G198">
        <f t="shared" ca="1" si="48"/>
        <v>0.12</v>
      </c>
      <c r="H198">
        <f t="shared" ca="1" si="49"/>
        <v>4</v>
      </c>
      <c r="I198">
        <f t="shared" ca="1" si="50"/>
        <v>0</v>
      </c>
      <c r="J198">
        <f t="shared" ca="1" si="51"/>
        <v>0</v>
      </c>
      <c r="K198">
        <f t="shared" ca="1" si="52"/>
        <v>0</v>
      </c>
      <c r="L198">
        <f t="shared" ca="1" si="53"/>
        <v>0</v>
      </c>
      <c r="M198">
        <f t="shared" ca="1" si="54"/>
        <v>0</v>
      </c>
      <c r="N198" t="str">
        <f t="shared" ca="1" si="55"/>
        <v>Low</v>
      </c>
    </row>
    <row r="199" spans="1:14" x14ac:dyDescent="0.25">
      <c r="A199">
        <f t="shared" si="42"/>
        <v>198</v>
      </c>
      <c r="B199">
        <f t="shared" si="43"/>
        <v>1199</v>
      </c>
      <c r="C199" t="str">
        <f t="shared" ca="1" si="44"/>
        <v>V3</v>
      </c>
      <c r="D199">
        <f t="shared" ca="1" si="45"/>
        <v>45</v>
      </c>
      <c r="E199">
        <f t="shared" ca="1" si="46"/>
        <v>43</v>
      </c>
      <c r="F199">
        <f t="shared" ca="1" si="47"/>
        <v>8</v>
      </c>
      <c r="G199">
        <f t="shared" ca="1" si="48"/>
        <v>0.18604651162790697</v>
      </c>
      <c r="H199">
        <f t="shared" ca="1" si="49"/>
        <v>5</v>
      </c>
      <c r="I199">
        <f t="shared" ca="1" si="50"/>
        <v>3</v>
      </c>
      <c r="J199">
        <f t="shared" ca="1" si="51"/>
        <v>0</v>
      </c>
      <c r="K199">
        <f t="shared" ca="1" si="52"/>
        <v>1</v>
      </c>
      <c r="L199">
        <f t="shared" ca="1" si="53"/>
        <v>0</v>
      </c>
      <c r="M199">
        <f t="shared" ca="1" si="54"/>
        <v>0</v>
      </c>
      <c r="N199" t="str">
        <f t="shared" ca="1" si="55"/>
        <v>Low</v>
      </c>
    </row>
    <row r="200" spans="1:14" x14ac:dyDescent="0.25">
      <c r="A200">
        <f t="shared" si="42"/>
        <v>199</v>
      </c>
      <c r="B200">
        <f t="shared" si="43"/>
        <v>1200</v>
      </c>
      <c r="C200" t="str">
        <f t="shared" ca="1" si="44"/>
        <v>V3</v>
      </c>
      <c r="D200">
        <f t="shared" ca="1" si="45"/>
        <v>30</v>
      </c>
      <c r="E200">
        <f t="shared" ca="1" si="46"/>
        <v>13</v>
      </c>
      <c r="F200">
        <f t="shared" ca="1" si="47"/>
        <v>1</v>
      </c>
      <c r="G200">
        <f t="shared" ca="1" si="48"/>
        <v>7.6923076923076927E-2</v>
      </c>
      <c r="H200">
        <f t="shared" ca="1" si="49"/>
        <v>2</v>
      </c>
      <c r="I200">
        <f t="shared" ca="1" si="50"/>
        <v>1</v>
      </c>
      <c r="J200">
        <f t="shared" ca="1" si="51"/>
        <v>1</v>
      </c>
      <c r="K200">
        <f t="shared" ca="1" si="52"/>
        <v>0</v>
      </c>
      <c r="L200">
        <f t="shared" ca="1" si="53"/>
        <v>0</v>
      </c>
      <c r="M200">
        <f t="shared" ca="1" si="54"/>
        <v>1</v>
      </c>
      <c r="N200" t="str">
        <f t="shared" ca="1" si="55"/>
        <v>Low</v>
      </c>
    </row>
    <row r="201" spans="1:14" x14ac:dyDescent="0.25">
      <c r="A201">
        <f t="shared" si="42"/>
        <v>200</v>
      </c>
      <c r="B201">
        <f t="shared" si="43"/>
        <v>1201</v>
      </c>
      <c r="C201" t="str">
        <f t="shared" ca="1" si="44"/>
        <v>V2</v>
      </c>
      <c r="D201">
        <f t="shared" ca="1" si="45"/>
        <v>30</v>
      </c>
      <c r="E201">
        <f t="shared" ca="1" si="46"/>
        <v>18</v>
      </c>
      <c r="F201">
        <f t="shared" ca="1" si="47"/>
        <v>4</v>
      </c>
      <c r="G201">
        <f t="shared" ca="1" si="48"/>
        <v>0.22222222222222221</v>
      </c>
      <c r="H201">
        <f t="shared" ca="1" si="49"/>
        <v>6</v>
      </c>
      <c r="I201">
        <f t="shared" ca="1" si="50"/>
        <v>1</v>
      </c>
      <c r="J201">
        <f t="shared" ca="1" si="51"/>
        <v>0</v>
      </c>
      <c r="K201">
        <f t="shared" ca="1" si="52"/>
        <v>0</v>
      </c>
      <c r="L201">
        <f t="shared" ca="1" si="53"/>
        <v>0</v>
      </c>
      <c r="M201">
        <f t="shared" ca="1" si="54"/>
        <v>0</v>
      </c>
      <c r="N201" t="str">
        <f t="shared" ca="1" si="55"/>
        <v>Medium</v>
      </c>
    </row>
    <row r="202" spans="1:14" x14ac:dyDescent="0.25">
      <c r="A202">
        <f t="shared" si="42"/>
        <v>201</v>
      </c>
      <c r="B202">
        <f t="shared" si="43"/>
        <v>1202</v>
      </c>
      <c r="C202" t="str">
        <f t="shared" ca="1" si="44"/>
        <v>V3</v>
      </c>
      <c r="D202">
        <f t="shared" ca="1" si="45"/>
        <v>45</v>
      </c>
      <c r="E202">
        <f t="shared" ca="1" si="46"/>
        <v>20</v>
      </c>
      <c r="F202">
        <f t="shared" ca="1" si="47"/>
        <v>5</v>
      </c>
      <c r="G202">
        <f t="shared" ca="1" si="48"/>
        <v>0.25</v>
      </c>
      <c r="H202">
        <f t="shared" ca="1" si="49"/>
        <v>6</v>
      </c>
      <c r="I202">
        <f t="shared" ca="1" si="50"/>
        <v>4</v>
      </c>
      <c r="J202">
        <f t="shared" ca="1" si="51"/>
        <v>0</v>
      </c>
      <c r="K202">
        <f t="shared" ca="1" si="52"/>
        <v>0</v>
      </c>
      <c r="L202">
        <f t="shared" ca="1" si="53"/>
        <v>0</v>
      </c>
      <c r="M202">
        <f t="shared" ca="1" si="54"/>
        <v>0</v>
      </c>
      <c r="N202" t="str">
        <f t="shared" ca="1" si="55"/>
        <v>Medium</v>
      </c>
    </row>
    <row r="203" spans="1:14" x14ac:dyDescent="0.25">
      <c r="A203">
        <f t="shared" si="42"/>
        <v>202</v>
      </c>
      <c r="B203">
        <f t="shared" si="43"/>
        <v>1203</v>
      </c>
      <c r="C203" t="str">
        <f t="shared" ca="1" si="44"/>
        <v>V3</v>
      </c>
      <c r="D203">
        <f t="shared" ca="1" si="45"/>
        <v>45</v>
      </c>
      <c r="E203">
        <f t="shared" ca="1" si="46"/>
        <v>40</v>
      </c>
      <c r="F203">
        <f t="shared" ca="1" si="47"/>
        <v>8</v>
      </c>
      <c r="G203">
        <f t="shared" ca="1" si="48"/>
        <v>0.2</v>
      </c>
      <c r="H203">
        <f t="shared" ca="1" si="49"/>
        <v>4</v>
      </c>
      <c r="I203">
        <f t="shared" ca="1" si="50"/>
        <v>2</v>
      </c>
      <c r="J203">
        <f t="shared" ca="1" si="51"/>
        <v>0</v>
      </c>
      <c r="K203">
        <f t="shared" ca="1" si="52"/>
        <v>0</v>
      </c>
      <c r="L203">
        <f t="shared" ca="1" si="53"/>
        <v>0</v>
      </c>
      <c r="M203">
        <f t="shared" ca="1" si="54"/>
        <v>1</v>
      </c>
      <c r="N203" t="str">
        <f t="shared" ca="1" si="55"/>
        <v>Medium</v>
      </c>
    </row>
    <row r="204" spans="1:14" x14ac:dyDescent="0.25">
      <c r="A204">
        <f t="shared" si="42"/>
        <v>203</v>
      </c>
      <c r="B204">
        <f t="shared" si="43"/>
        <v>1204</v>
      </c>
      <c r="C204" t="str">
        <f t="shared" ca="1" si="44"/>
        <v>V1</v>
      </c>
      <c r="D204">
        <f t="shared" ca="1" si="45"/>
        <v>60</v>
      </c>
      <c r="E204">
        <f t="shared" ca="1" si="46"/>
        <v>26</v>
      </c>
      <c r="F204">
        <f t="shared" ca="1" si="47"/>
        <v>2</v>
      </c>
      <c r="G204">
        <f t="shared" ca="1" si="48"/>
        <v>7.6923076923076927E-2</v>
      </c>
      <c r="H204">
        <f t="shared" ca="1" si="49"/>
        <v>3</v>
      </c>
      <c r="I204">
        <f t="shared" ca="1" si="50"/>
        <v>1</v>
      </c>
      <c r="J204">
        <f t="shared" ca="1" si="51"/>
        <v>0</v>
      </c>
      <c r="K204">
        <f t="shared" ca="1" si="52"/>
        <v>0</v>
      </c>
      <c r="L204">
        <f t="shared" ca="1" si="53"/>
        <v>0</v>
      </c>
      <c r="M204">
        <f t="shared" ca="1" si="54"/>
        <v>0</v>
      </c>
      <c r="N204" t="str">
        <f t="shared" ca="1" si="55"/>
        <v>Low</v>
      </c>
    </row>
    <row r="205" spans="1:14" x14ac:dyDescent="0.25">
      <c r="A205">
        <f t="shared" si="42"/>
        <v>204</v>
      </c>
      <c r="B205">
        <f t="shared" si="43"/>
        <v>1205</v>
      </c>
      <c r="C205" t="str">
        <f t="shared" ca="1" si="44"/>
        <v>V2</v>
      </c>
      <c r="D205">
        <f t="shared" ca="1" si="45"/>
        <v>30</v>
      </c>
      <c r="E205">
        <f t="shared" ca="1" si="46"/>
        <v>23</v>
      </c>
      <c r="F205">
        <f t="shared" ca="1" si="47"/>
        <v>6</v>
      </c>
      <c r="G205">
        <f t="shared" ca="1" si="48"/>
        <v>0.2608695652173913</v>
      </c>
      <c r="H205">
        <f t="shared" ca="1" si="49"/>
        <v>5</v>
      </c>
      <c r="I205">
        <f t="shared" ca="1" si="50"/>
        <v>4</v>
      </c>
      <c r="J205">
        <f t="shared" ca="1" si="51"/>
        <v>0</v>
      </c>
      <c r="K205">
        <f t="shared" ca="1" si="52"/>
        <v>0</v>
      </c>
      <c r="L205">
        <f t="shared" ca="1" si="53"/>
        <v>0</v>
      </c>
      <c r="M205">
        <f t="shared" ca="1" si="54"/>
        <v>0</v>
      </c>
      <c r="N205" t="str">
        <f t="shared" ca="1" si="55"/>
        <v>Medium</v>
      </c>
    </row>
    <row r="206" spans="1:14" x14ac:dyDescent="0.25">
      <c r="A206">
        <f t="shared" si="42"/>
        <v>205</v>
      </c>
      <c r="B206">
        <f t="shared" si="43"/>
        <v>1206</v>
      </c>
      <c r="C206" t="str">
        <f t="shared" ca="1" si="44"/>
        <v>V2</v>
      </c>
      <c r="D206">
        <f t="shared" ca="1" si="45"/>
        <v>30</v>
      </c>
      <c r="E206">
        <f t="shared" ca="1" si="46"/>
        <v>30</v>
      </c>
      <c r="F206">
        <f t="shared" ca="1" si="47"/>
        <v>2</v>
      </c>
      <c r="G206">
        <f t="shared" ca="1" si="48"/>
        <v>6.6666666666666666E-2</v>
      </c>
      <c r="H206">
        <f t="shared" ca="1" si="49"/>
        <v>0</v>
      </c>
      <c r="I206">
        <f t="shared" ca="1" si="50"/>
        <v>2</v>
      </c>
      <c r="J206">
        <f t="shared" ca="1" si="51"/>
        <v>0</v>
      </c>
      <c r="K206">
        <f t="shared" ca="1" si="52"/>
        <v>1</v>
      </c>
      <c r="L206">
        <f t="shared" ca="1" si="53"/>
        <v>0</v>
      </c>
      <c r="M206">
        <f t="shared" ca="1" si="54"/>
        <v>1</v>
      </c>
      <c r="N206" t="str">
        <f t="shared" ca="1" si="55"/>
        <v>Low</v>
      </c>
    </row>
    <row r="207" spans="1:14" x14ac:dyDescent="0.25">
      <c r="A207">
        <f t="shared" si="42"/>
        <v>206</v>
      </c>
      <c r="B207">
        <f t="shared" si="43"/>
        <v>1207</v>
      </c>
      <c r="C207" t="str">
        <f t="shared" ca="1" si="44"/>
        <v>V1</v>
      </c>
      <c r="D207">
        <f t="shared" ca="1" si="45"/>
        <v>45</v>
      </c>
      <c r="E207">
        <f t="shared" ca="1" si="46"/>
        <v>37</v>
      </c>
      <c r="F207">
        <f t="shared" ca="1" si="47"/>
        <v>2</v>
      </c>
      <c r="G207">
        <f t="shared" ca="1" si="48"/>
        <v>5.4054054054054057E-2</v>
      </c>
      <c r="H207">
        <f t="shared" ca="1" si="49"/>
        <v>3</v>
      </c>
      <c r="I207">
        <f t="shared" ca="1" si="50"/>
        <v>2</v>
      </c>
      <c r="J207">
        <f t="shared" ca="1" si="51"/>
        <v>0</v>
      </c>
      <c r="K207">
        <f t="shared" ca="1" si="52"/>
        <v>0</v>
      </c>
      <c r="L207">
        <f t="shared" ca="1" si="53"/>
        <v>0</v>
      </c>
      <c r="M207">
        <f t="shared" ca="1" si="54"/>
        <v>1</v>
      </c>
      <c r="N207" t="str">
        <f t="shared" ca="1" si="55"/>
        <v>Low</v>
      </c>
    </row>
    <row r="208" spans="1:14" x14ac:dyDescent="0.25">
      <c r="A208">
        <f t="shared" si="42"/>
        <v>207</v>
      </c>
      <c r="B208">
        <f t="shared" si="43"/>
        <v>1208</v>
      </c>
      <c r="C208" t="str">
        <f t="shared" ca="1" si="44"/>
        <v>V3</v>
      </c>
      <c r="D208">
        <f t="shared" ca="1" si="45"/>
        <v>60</v>
      </c>
      <c r="E208">
        <f t="shared" ca="1" si="46"/>
        <v>35</v>
      </c>
      <c r="F208">
        <f t="shared" ca="1" si="47"/>
        <v>5</v>
      </c>
      <c r="G208">
        <f t="shared" ca="1" si="48"/>
        <v>0.14285714285714285</v>
      </c>
      <c r="H208">
        <f t="shared" ca="1" si="49"/>
        <v>5</v>
      </c>
      <c r="I208">
        <f t="shared" ca="1" si="50"/>
        <v>3</v>
      </c>
      <c r="J208">
        <f t="shared" ca="1" si="51"/>
        <v>0</v>
      </c>
      <c r="K208">
        <f t="shared" ca="1" si="52"/>
        <v>0</v>
      </c>
      <c r="L208">
        <f t="shared" ca="1" si="53"/>
        <v>0</v>
      </c>
      <c r="M208">
        <f t="shared" ca="1" si="54"/>
        <v>0</v>
      </c>
      <c r="N208" t="str">
        <f t="shared" ca="1" si="55"/>
        <v>Low</v>
      </c>
    </row>
    <row r="209" spans="1:14" x14ac:dyDescent="0.25">
      <c r="A209">
        <f t="shared" si="42"/>
        <v>208</v>
      </c>
      <c r="B209">
        <f t="shared" si="43"/>
        <v>1209</v>
      </c>
      <c r="C209" t="str">
        <f t="shared" ca="1" si="44"/>
        <v>V3</v>
      </c>
      <c r="D209">
        <f t="shared" ca="1" si="45"/>
        <v>30</v>
      </c>
      <c r="E209">
        <f t="shared" ca="1" si="46"/>
        <v>21</v>
      </c>
      <c r="F209">
        <f t="shared" ca="1" si="47"/>
        <v>8</v>
      </c>
      <c r="G209">
        <f t="shared" ca="1" si="48"/>
        <v>0.38095238095238093</v>
      </c>
      <c r="H209">
        <f t="shared" ca="1" si="49"/>
        <v>6</v>
      </c>
      <c r="I209">
        <f t="shared" ca="1" si="50"/>
        <v>3</v>
      </c>
      <c r="J209">
        <f t="shared" ca="1" si="51"/>
        <v>0</v>
      </c>
      <c r="K209">
        <f t="shared" ca="1" si="52"/>
        <v>0</v>
      </c>
      <c r="L209">
        <f t="shared" ca="1" si="53"/>
        <v>0</v>
      </c>
      <c r="M209">
        <f t="shared" ca="1" si="54"/>
        <v>0</v>
      </c>
      <c r="N209" t="str">
        <f t="shared" ca="1" si="55"/>
        <v>Medium</v>
      </c>
    </row>
    <row r="210" spans="1:14" x14ac:dyDescent="0.25">
      <c r="A210">
        <f t="shared" si="42"/>
        <v>209</v>
      </c>
      <c r="B210">
        <f t="shared" si="43"/>
        <v>1210</v>
      </c>
      <c r="C210" t="str">
        <f t="shared" ca="1" si="44"/>
        <v>V2</v>
      </c>
      <c r="D210">
        <f t="shared" ca="1" si="45"/>
        <v>30</v>
      </c>
      <c r="E210">
        <f t="shared" ca="1" si="46"/>
        <v>25</v>
      </c>
      <c r="F210">
        <f t="shared" ca="1" si="47"/>
        <v>2</v>
      </c>
      <c r="G210">
        <f t="shared" ca="1" si="48"/>
        <v>0.08</v>
      </c>
      <c r="H210">
        <f t="shared" ca="1" si="49"/>
        <v>6</v>
      </c>
      <c r="I210">
        <f t="shared" ca="1" si="50"/>
        <v>1</v>
      </c>
      <c r="J210">
        <f t="shared" ca="1" si="51"/>
        <v>1</v>
      </c>
      <c r="K210">
        <f t="shared" ca="1" si="52"/>
        <v>0</v>
      </c>
      <c r="L210">
        <f t="shared" ca="1" si="53"/>
        <v>0</v>
      </c>
      <c r="M210">
        <f t="shared" ca="1" si="54"/>
        <v>0</v>
      </c>
      <c r="N210" t="str">
        <f t="shared" ca="1" si="55"/>
        <v>Low</v>
      </c>
    </row>
    <row r="211" spans="1:14" x14ac:dyDescent="0.25">
      <c r="A211">
        <f t="shared" si="42"/>
        <v>210</v>
      </c>
      <c r="B211">
        <f t="shared" si="43"/>
        <v>1211</v>
      </c>
      <c r="C211" t="str">
        <f t="shared" ca="1" si="44"/>
        <v>V2</v>
      </c>
      <c r="D211">
        <f t="shared" ca="1" si="45"/>
        <v>30</v>
      </c>
      <c r="E211">
        <f t="shared" ca="1" si="46"/>
        <v>18</v>
      </c>
      <c r="F211">
        <f t="shared" ca="1" si="47"/>
        <v>4</v>
      </c>
      <c r="G211">
        <f t="shared" ca="1" si="48"/>
        <v>0.22222222222222221</v>
      </c>
      <c r="H211">
        <f t="shared" ca="1" si="49"/>
        <v>3</v>
      </c>
      <c r="I211">
        <f t="shared" ca="1" si="50"/>
        <v>0</v>
      </c>
      <c r="J211">
        <f t="shared" ca="1" si="51"/>
        <v>0</v>
      </c>
      <c r="K211">
        <f t="shared" ca="1" si="52"/>
        <v>0</v>
      </c>
      <c r="L211">
        <f t="shared" ca="1" si="53"/>
        <v>0</v>
      </c>
      <c r="M211">
        <f t="shared" ca="1" si="54"/>
        <v>0</v>
      </c>
      <c r="N211" t="str">
        <f t="shared" ca="1" si="55"/>
        <v>Medium</v>
      </c>
    </row>
    <row r="212" spans="1:14" x14ac:dyDescent="0.25">
      <c r="A212">
        <f t="shared" si="42"/>
        <v>211</v>
      </c>
      <c r="B212">
        <f t="shared" si="43"/>
        <v>1212</v>
      </c>
      <c r="C212" t="str">
        <f t="shared" ca="1" si="44"/>
        <v>V3</v>
      </c>
      <c r="D212">
        <f t="shared" ca="1" si="45"/>
        <v>45</v>
      </c>
      <c r="E212">
        <f t="shared" ca="1" si="46"/>
        <v>36</v>
      </c>
      <c r="F212">
        <f t="shared" ca="1" si="47"/>
        <v>4</v>
      </c>
      <c r="G212">
        <f t="shared" ca="1" si="48"/>
        <v>0.1111111111111111</v>
      </c>
      <c r="H212">
        <f t="shared" ca="1" si="49"/>
        <v>2</v>
      </c>
      <c r="I212">
        <f t="shared" ca="1" si="50"/>
        <v>1</v>
      </c>
      <c r="J212">
        <f t="shared" ca="1" si="51"/>
        <v>1</v>
      </c>
      <c r="K212">
        <f t="shared" ca="1" si="52"/>
        <v>0</v>
      </c>
      <c r="L212">
        <f t="shared" ca="1" si="53"/>
        <v>0</v>
      </c>
      <c r="M212">
        <f t="shared" ca="1" si="54"/>
        <v>1</v>
      </c>
      <c r="N212" t="str">
        <f t="shared" ca="1" si="55"/>
        <v>Low</v>
      </c>
    </row>
    <row r="213" spans="1:14" x14ac:dyDescent="0.25">
      <c r="A213">
        <f t="shared" si="42"/>
        <v>212</v>
      </c>
      <c r="B213">
        <f t="shared" si="43"/>
        <v>1213</v>
      </c>
      <c r="C213" t="str">
        <f t="shared" ca="1" si="44"/>
        <v>V3</v>
      </c>
      <c r="D213">
        <f t="shared" ca="1" si="45"/>
        <v>30</v>
      </c>
      <c r="E213">
        <f t="shared" ca="1" si="46"/>
        <v>28</v>
      </c>
      <c r="F213">
        <f t="shared" ca="1" si="47"/>
        <v>4</v>
      </c>
      <c r="G213">
        <f t="shared" ca="1" si="48"/>
        <v>0.14285714285714285</v>
      </c>
      <c r="H213">
        <f t="shared" ca="1" si="49"/>
        <v>4</v>
      </c>
      <c r="I213">
        <f t="shared" ca="1" si="50"/>
        <v>4</v>
      </c>
      <c r="J213">
        <f t="shared" ca="1" si="51"/>
        <v>1</v>
      </c>
      <c r="K213">
        <f t="shared" ca="1" si="52"/>
        <v>1</v>
      </c>
      <c r="L213">
        <f t="shared" ca="1" si="53"/>
        <v>0</v>
      </c>
      <c r="M213">
        <f t="shared" ca="1" si="54"/>
        <v>0</v>
      </c>
      <c r="N213" t="str">
        <f t="shared" ca="1" si="55"/>
        <v>Low</v>
      </c>
    </row>
    <row r="214" spans="1:14" x14ac:dyDescent="0.25">
      <c r="A214">
        <f t="shared" si="42"/>
        <v>213</v>
      </c>
      <c r="B214">
        <f t="shared" si="43"/>
        <v>1214</v>
      </c>
      <c r="C214" t="str">
        <f t="shared" ca="1" si="44"/>
        <v>V3</v>
      </c>
      <c r="D214">
        <f t="shared" ca="1" si="45"/>
        <v>60</v>
      </c>
      <c r="E214">
        <f t="shared" ca="1" si="46"/>
        <v>29</v>
      </c>
      <c r="F214">
        <f t="shared" ca="1" si="47"/>
        <v>2</v>
      </c>
      <c r="G214">
        <f t="shared" ca="1" si="48"/>
        <v>6.8965517241379309E-2</v>
      </c>
      <c r="H214">
        <f t="shared" ca="1" si="49"/>
        <v>1</v>
      </c>
      <c r="I214">
        <f t="shared" ca="1" si="50"/>
        <v>3</v>
      </c>
      <c r="J214">
        <f t="shared" ca="1" si="51"/>
        <v>1</v>
      </c>
      <c r="K214">
        <f t="shared" ca="1" si="52"/>
        <v>0</v>
      </c>
      <c r="L214">
        <f t="shared" ca="1" si="53"/>
        <v>0</v>
      </c>
      <c r="M214">
        <f t="shared" ca="1" si="54"/>
        <v>1</v>
      </c>
      <c r="N214" t="str">
        <f t="shared" ca="1" si="55"/>
        <v>Low</v>
      </c>
    </row>
    <row r="215" spans="1:14" x14ac:dyDescent="0.25">
      <c r="A215">
        <f t="shared" si="42"/>
        <v>214</v>
      </c>
      <c r="B215">
        <f t="shared" si="43"/>
        <v>1215</v>
      </c>
      <c r="C215" t="str">
        <f t="shared" ca="1" si="44"/>
        <v>V1</v>
      </c>
      <c r="D215">
        <f t="shared" ca="1" si="45"/>
        <v>60</v>
      </c>
      <c r="E215">
        <f t="shared" ca="1" si="46"/>
        <v>30</v>
      </c>
      <c r="F215">
        <f t="shared" ca="1" si="47"/>
        <v>1</v>
      </c>
      <c r="G215">
        <f t="shared" ca="1" si="48"/>
        <v>3.3333333333333333E-2</v>
      </c>
      <c r="H215">
        <f t="shared" ca="1" si="49"/>
        <v>6</v>
      </c>
      <c r="I215">
        <f t="shared" ca="1" si="50"/>
        <v>3</v>
      </c>
      <c r="J215">
        <f t="shared" ca="1" si="51"/>
        <v>1</v>
      </c>
      <c r="K215">
        <f t="shared" ca="1" si="52"/>
        <v>0</v>
      </c>
      <c r="L215">
        <f t="shared" ca="1" si="53"/>
        <v>0</v>
      </c>
      <c r="M215">
        <f t="shared" ca="1" si="54"/>
        <v>0</v>
      </c>
      <c r="N215" t="str">
        <f t="shared" ca="1" si="55"/>
        <v>Low</v>
      </c>
    </row>
    <row r="216" spans="1:14" x14ac:dyDescent="0.25">
      <c r="A216">
        <f t="shared" si="42"/>
        <v>215</v>
      </c>
      <c r="B216">
        <f t="shared" si="43"/>
        <v>1216</v>
      </c>
      <c r="C216" t="str">
        <f t="shared" ca="1" si="44"/>
        <v>V3</v>
      </c>
      <c r="D216">
        <f t="shared" ca="1" si="45"/>
        <v>60</v>
      </c>
      <c r="E216">
        <f t="shared" ca="1" si="46"/>
        <v>33</v>
      </c>
      <c r="F216">
        <f t="shared" ca="1" si="47"/>
        <v>8</v>
      </c>
      <c r="G216">
        <f t="shared" ca="1" si="48"/>
        <v>0.24242424242424243</v>
      </c>
      <c r="H216">
        <f t="shared" ca="1" si="49"/>
        <v>5</v>
      </c>
      <c r="I216">
        <f t="shared" ca="1" si="50"/>
        <v>0</v>
      </c>
      <c r="J216">
        <f t="shared" ca="1" si="51"/>
        <v>0</v>
      </c>
      <c r="K216">
        <f t="shared" ca="1" si="52"/>
        <v>0</v>
      </c>
      <c r="L216">
        <f t="shared" ca="1" si="53"/>
        <v>0</v>
      </c>
      <c r="M216">
        <f t="shared" ca="1" si="54"/>
        <v>0</v>
      </c>
      <c r="N216" t="str">
        <f t="shared" ca="1" si="55"/>
        <v>Medium</v>
      </c>
    </row>
    <row r="217" spans="1:14" x14ac:dyDescent="0.25">
      <c r="A217">
        <f t="shared" si="42"/>
        <v>216</v>
      </c>
      <c r="B217">
        <f t="shared" si="43"/>
        <v>1217</v>
      </c>
      <c r="C217" t="str">
        <f t="shared" ca="1" si="44"/>
        <v>V3</v>
      </c>
      <c r="D217">
        <f t="shared" ca="1" si="45"/>
        <v>60</v>
      </c>
      <c r="E217">
        <f t="shared" ca="1" si="46"/>
        <v>50</v>
      </c>
      <c r="F217">
        <f t="shared" ca="1" si="47"/>
        <v>2</v>
      </c>
      <c r="G217">
        <f t="shared" ca="1" si="48"/>
        <v>0.04</v>
      </c>
      <c r="H217">
        <f t="shared" ca="1" si="49"/>
        <v>2</v>
      </c>
      <c r="I217">
        <f t="shared" ca="1" si="50"/>
        <v>0</v>
      </c>
      <c r="J217">
        <f t="shared" ca="1" si="51"/>
        <v>0</v>
      </c>
      <c r="K217">
        <f t="shared" ca="1" si="52"/>
        <v>0</v>
      </c>
      <c r="L217">
        <f t="shared" ca="1" si="53"/>
        <v>0</v>
      </c>
      <c r="M217">
        <f t="shared" ca="1" si="54"/>
        <v>0</v>
      </c>
      <c r="N217" t="str">
        <f t="shared" ca="1" si="55"/>
        <v>Low</v>
      </c>
    </row>
    <row r="218" spans="1:14" x14ac:dyDescent="0.25">
      <c r="A218">
        <f t="shared" si="42"/>
        <v>217</v>
      </c>
      <c r="B218">
        <f t="shared" si="43"/>
        <v>1218</v>
      </c>
      <c r="C218" t="str">
        <f t="shared" ca="1" si="44"/>
        <v>V1</v>
      </c>
      <c r="D218">
        <f t="shared" ca="1" si="45"/>
        <v>30</v>
      </c>
      <c r="E218">
        <f t="shared" ca="1" si="46"/>
        <v>12</v>
      </c>
      <c r="F218">
        <f t="shared" ca="1" si="47"/>
        <v>5</v>
      </c>
      <c r="G218">
        <f t="shared" ca="1" si="48"/>
        <v>0.41666666666666669</v>
      </c>
      <c r="H218">
        <f t="shared" ca="1" si="49"/>
        <v>6</v>
      </c>
      <c r="I218">
        <f t="shared" ca="1" si="50"/>
        <v>4</v>
      </c>
      <c r="J218">
        <f t="shared" ca="1" si="51"/>
        <v>1</v>
      </c>
      <c r="K218">
        <f t="shared" ca="1" si="52"/>
        <v>0</v>
      </c>
      <c r="L218">
        <f t="shared" ca="1" si="53"/>
        <v>1</v>
      </c>
      <c r="M218">
        <f t="shared" ca="1" si="54"/>
        <v>0</v>
      </c>
      <c r="N218" t="str">
        <f t="shared" ca="1" si="55"/>
        <v>Medium</v>
      </c>
    </row>
    <row r="219" spans="1:14" x14ac:dyDescent="0.25">
      <c r="A219">
        <f t="shared" si="42"/>
        <v>218</v>
      </c>
      <c r="B219">
        <f t="shared" si="43"/>
        <v>1219</v>
      </c>
      <c r="C219" t="str">
        <f t="shared" ca="1" si="44"/>
        <v>V2</v>
      </c>
      <c r="D219">
        <f t="shared" ca="1" si="45"/>
        <v>45</v>
      </c>
      <c r="E219">
        <f t="shared" ca="1" si="46"/>
        <v>34</v>
      </c>
      <c r="F219">
        <f t="shared" ca="1" si="47"/>
        <v>3</v>
      </c>
      <c r="G219">
        <f t="shared" ca="1" si="48"/>
        <v>8.8235294117647065E-2</v>
      </c>
      <c r="H219">
        <f t="shared" ca="1" si="49"/>
        <v>4</v>
      </c>
      <c r="I219">
        <f t="shared" ca="1" si="50"/>
        <v>4</v>
      </c>
      <c r="J219">
        <f t="shared" ca="1" si="51"/>
        <v>1</v>
      </c>
      <c r="K219">
        <f t="shared" ca="1" si="52"/>
        <v>0</v>
      </c>
      <c r="L219">
        <f t="shared" ca="1" si="53"/>
        <v>0</v>
      </c>
      <c r="M219">
        <f t="shared" ca="1" si="54"/>
        <v>0</v>
      </c>
      <c r="N219" t="str">
        <f t="shared" ca="1" si="55"/>
        <v>Low</v>
      </c>
    </row>
    <row r="220" spans="1:14" x14ac:dyDescent="0.25">
      <c r="A220">
        <f t="shared" si="42"/>
        <v>219</v>
      </c>
      <c r="B220">
        <f t="shared" si="43"/>
        <v>1220</v>
      </c>
      <c r="C220" t="str">
        <f t="shared" ca="1" si="44"/>
        <v>V3</v>
      </c>
      <c r="D220">
        <f t="shared" ca="1" si="45"/>
        <v>45</v>
      </c>
      <c r="E220">
        <f t="shared" ca="1" si="46"/>
        <v>37</v>
      </c>
      <c r="F220">
        <f t="shared" ca="1" si="47"/>
        <v>6</v>
      </c>
      <c r="G220">
        <f t="shared" ca="1" si="48"/>
        <v>0.16216216216216217</v>
      </c>
      <c r="H220">
        <f t="shared" ca="1" si="49"/>
        <v>3</v>
      </c>
      <c r="I220">
        <f t="shared" ca="1" si="50"/>
        <v>0</v>
      </c>
      <c r="J220">
        <f t="shared" ca="1" si="51"/>
        <v>0</v>
      </c>
      <c r="K220">
        <f t="shared" ca="1" si="52"/>
        <v>0</v>
      </c>
      <c r="L220">
        <f t="shared" ca="1" si="53"/>
        <v>0</v>
      </c>
      <c r="M220">
        <f t="shared" ca="1" si="54"/>
        <v>0</v>
      </c>
      <c r="N220" t="str">
        <f t="shared" ca="1" si="55"/>
        <v>Low</v>
      </c>
    </row>
    <row r="221" spans="1:14" x14ac:dyDescent="0.25">
      <c r="A221">
        <f t="shared" si="42"/>
        <v>220</v>
      </c>
      <c r="B221">
        <f t="shared" si="43"/>
        <v>1221</v>
      </c>
      <c r="C221" t="str">
        <f t="shared" ca="1" si="44"/>
        <v>V3</v>
      </c>
      <c r="D221">
        <f t="shared" ca="1" si="45"/>
        <v>60</v>
      </c>
      <c r="E221">
        <f t="shared" ca="1" si="46"/>
        <v>45</v>
      </c>
      <c r="F221">
        <f t="shared" ca="1" si="47"/>
        <v>8</v>
      </c>
      <c r="G221">
        <f t="shared" ca="1" si="48"/>
        <v>0.17777777777777778</v>
      </c>
      <c r="H221">
        <f t="shared" ca="1" si="49"/>
        <v>0</v>
      </c>
      <c r="I221">
        <f t="shared" ca="1" si="50"/>
        <v>0</v>
      </c>
      <c r="J221">
        <f t="shared" ca="1" si="51"/>
        <v>0</v>
      </c>
      <c r="K221">
        <f t="shared" ca="1" si="52"/>
        <v>0</v>
      </c>
      <c r="L221">
        <f t="shared" ca="1" si="53"/>
        <v>0</v>
      </c>
      <c r="M221">
        <f t="shared" ca="1" si="54"/>
        <v>1</v>
      </c>
      <c r="N221" t="str">
        <f t="shared" ca="1" si="55"/>
        <v>Low</v>
      </c>
    </row>
    <row r="222" spans="1:14" x14ac:dyDescent="0.25">
      <c r="A222">
        <f t="shared" si="42"/>
        <v>221</v>
      </c>
      <c r="B222">
        <f t="shared" si="43"/>
        <v>1222</v>
      </c>
      <c r="C222" t="str">
        <f t="shared" ca="1" si="44"/>
        <v>V2</v>
      </c>
      <c r="D222">
        <f t="shared" ca="1" si="45"/>
        <v>30</v>
      </c>
      <c r="E222">
        <f t="shared" ca="1" si="46"/>
        <v>22</v>
      </c>
      <c r="F222">
        <f t="shared" ca="1" si="47"/>
        <v>4</v>
      </c>
      <c r="G222">
        <f t="shared" ca="1" si="48"/>
        <v>0.18181818181818182</v>
      </c>
      <c r="H222">
        <f t="shared" ca="1" si="49"/>
        <v>2</v>
      </c>
      <c r="I222">
        <f t="shared" ca="1" si="50"/>
        <v>1</v>
      </c>
      <c r="J222">
        <f t="shared" ca="1" si="51"/>
        <v>0</v>
      </c>
      <c r="K222">
        <f t="shared" ca="1" si="52"/>
        <v>0</v>
      </c>
      <c r="L222">
        <f t="shared" ca="1" si="53"/>
        <v>0</v>
      </c>
      <c r="M222">
        <f t="shared" ca="1" si="54"/>
        <v>0</v>
      </c>
      <c r="N222" t="str">
        <f t="shared" ca="1" si="55"/>
        <v>Low</v>
      </c>
    </row>
    <row r="223" spans="1:14" x14ac:dyDescent="0.25">
      <c r="A223">
        <f t="shared" si="42"/>
        <v>222</v>
      </c>
      <c r="B223">
        <f t="shared" si="43"/>
        <v>1223</v>
      </c>
      <c r="C223" t="str">
        <f t="shared" ca="1" si="44"/>
        <v>V3</v>
      </c>
      <c r="D223">
        <f t="shared" ca="1" si="45"/>
        <v>60</v>
      </c>
      <c r="E223">
        <f t="shared" ca="1" si="46"/>
        <v>53</v>
      </c>
      <c r="F223">
        <f t="shared" ca="1" si="47"/>
        <v>6</v>
      </c>
      <c r="G223">
        <f t="shared" ca="1" si="48"/>
        <v>0.11320754716981132</v>
      </c>
      <c r="H223">
        <f t="shared" ca="1" si="49"/>
        <v>0</v>
      </c>
      <c r="I223">
        <f t="shared" ca="1" si="50"/>
        <v>1</v>
      </c>
      <c r="J223">
        <f t="shared" ca="1" si="51"/>
        <v>1</v>
      </c>
      <c r="K223">
        <f t="shared" ca="1" si="52"/>
        <v>0</v>
      </c>
      <c r="L223">
        <f t="shared" ca="1" si="53"/>
        <v>0</v>
      </c>
      <c r="M223">
        <f t="shared" ca="1" si="54"/>
        <v>1</v>
      </c>
      <c r="N223" t="str">
        <f t="shared" ca="1" si="55"/>
        <v>Low</v>
      </c>
    </row>
    <row r="224" spans="1:14" x14ac:dyDescent="0.25">
      <c r="A224">
        <f t="shared" si="42"/>
        <v>223</v>
      </c>
      <c r="B224">
        <f t="shared" si="43"/>
        <v>1224</v>
      </c>
      <c r="C224" t="str">
        <f t="shared" ca="1" si="44"/>
        <v>V1</v>
      </c>
      <c r="D224">
        <f t="shared" ca="1" si="45"/>
        <v>60</v>
      </c>
      <c r="E224">
        <f t="shared" ca="1" si="46"/>
        <v>44</v>
      </c>
      <c r="F224">
        <f t="shared" ca="1" si="47"/>
        <v>3</v>
      </c>
      <c r="G224">
        <f t="shared" ca="1" si="48"/>
        <v>6.8181818181818177E-2</v>
      </c>
      <c r="H224">
        <f t="shared" ca="1" si="49"/>
        <v>2</v>
      </c>
      <c r="I224">
        <f t="shared" ca="1" si="50"/>
        <v>2</v>
      </c>
      <c r="J224">
        <f t="shared" ca="1" si="51"/>
        <v>1</v>
      </c>
      <c r="K224">
        <f t="shared" ca="1" si="52"/>
        <v>0</v>
      </c>
      <c r="L224">
        <f t="shared" ca="1" si="53"/>
        <v>0</v>
      </c>
      <c r="M224">
        <f t="shared" ca="1" si="54"/>
        <v>1</v>
      </c>
      <c r="N224" t="str">
        <f t="shared" ca="1" si="55"/>
        <v>Low</v>
      </c>
    </row>
    <row r="225" spans="1:14" x14ac:dyDescent="0.25">
      <c r="A225">
        <f t="shared" si="42"/>
        <v>224</v>
      </c>
      <c r="B225">
        <f t="shared" si="43"/>
        <v>1225</v>
      </c>
      <c r="C225" t="str">
        <f t="shared" ca="1" si="44"/>
        <v>V1</v>
      </c>
      <c r="D225">
        <f t="shared" ca="1" si="45"/>
        <v>30</v>
      </c>
      <c r="E225">
        <f t="shared" ca="1" si="46"/>
        <v>21</v>
      </c>
      <c r="F225">
        <f t="shared" ca="1" si="47"/>
        <v>1</v>
      </c>
      <c r="G225">
        <f t="shared" ca="1" si="48"/>
        <v>4.7619047619047616E-2</v>
      </c>
      <c r="H225">
        <f t="shared" ca="1" si="49"/>
        <v>0</v>
      </c>
      <c r="I225">
        <f t="shared" ca="1" si="50"/>
        <v>3</v>
      </c>
      <c r="J225">
        <f t="shared" ca="1" si="51"/>
        <v>1</v>
      </c>
      <c r="K225">
        <f t="shared" ca="1" si="52"/>
        <v>0</v>
      </c>
      <c r="L225">
        <f t="shared" ca="1" si="53"/>
        <v>0</v>
      </c>
      <c r="M225">
        <f t="shared" ca="1" si="54"/>
        <v>1</v>
      </c>
      <c r="N225" t="str">
        <f t="shared" ca="1" si="55"/>
        <v>Low</v>
      </c>
    </row>
    <row r="226" spans="1:14" x14ac:dyDescent="0.25">
      <c r="A226">
        <f t="shared" si="42"/>
        <v>225</v>
      </c>
      <c r="B226">
        <f t="shared" si="43"/>
        <v>1226</v>
      </c>
      <c r="C226" t="str">
        <f t="shared" ca="1" si="44"/>
        <v>V2</v>
      </c>
      <c r="D226">
        <f t="shared" ca="1" si="45"/>
        <v>30</v>
      </c>
      <c r="E226">
        <f t="shared" ca="1" si="46"/>
        <v>17</v>
      </c>
      <c r="F226">
        <f t="shared" ca="1" si="47"/>
        <v>5</v>
      </c>
      <c r="G226">
        <f t="shared" ca="1" si="48"/>
        <v>0.29411764705882354</v>
      </c>
      <c r="H226">
        <f t="shared" ca="1" si="49"/>
        <v>2</v>
      </c>
      <c r="I226">
        <f t="shared" ca="1" si="50"/>
        <v>3</v>
      </c>
      <c r="J226">
        <f t="shared" ca="1" si="51"/>
        <v>0</v>
      </c>
      <c r="K226">
        <f t="shared" ca="1" si="52"/>
        <v>0</v>
      </c>
      <c r="L226">
        <f t="shared" ca="1" si="53"/>
        <v>0</v>
      </c>
      <c r="M226">
        <f t="shared" ca="1" si="54"/>
        <v>1</v>
      </c>
      <c r="N226" t="str">
        <f t="shared" ca="1" si="55"/>
        <v>Medium</v>
      </c>
    </row>
    <row r="227" spans="1:14" x14ac:dyDescent="0.25">
      <c r="A227">
        <f t="shared" si="42"/>
        <v>226</v>
      </c>
      <c r="B227">
        <f t="shared" si="43"/>
        <v>1227</v>
      </c>
      <c r="C227" t="str">
        <f t="shared" ca="1" si="44"/>
        <v>V1</v>
      </c>
      <c r="D227">
        <f t="shared" ca="1" si="45"/>
        <v>30</v>
      </c>
      <c r="E227">
        <f t="shared" ca="1" si="46"/>
        <v>18</v>
      </c>
      <c r="F227">
        <f t="shared" ca="1" si="47"/>
        <v>2</v>
      </c>
      <c r="G227">
        <f t="shared" ca="1" si="48"/>
        <v>0.1111111111111111</v>
      </c>
      <c r="H227">
        <f t="shared" ca="1" si="49"/>
        <v>2</v>
      </c>
      <c r="I227">
        <f t="shared" ca="1" si="50"/>
        <v>1</v>
      </c>
      <c r="J227">
        <f t="shared" ca="1" si="51"/>
        <v>0</v>
      </c>
      <c r="K227">
        <f t="shared" ca="1" si="52"/>
        <v>0</v>
      </c>
      <c r="L227">
        <f t="shared" ca="1" si="53"/>
        <v>0</v>
      </c>
      <c r="M227">
        <f t="shared" ca="1" si="54"/>
        <v>0</v>
      </c>
      <c r="N227" t="str">
        <f t="shared" ca="1" si="55"/>
        <v>Low</v>
      </c>
    </row>
    <row r="228" spans="1:14" x14ac:dyDescent="0.25">
      <c r="A228">
        <f t="shared" si="42"/>
        <v>227</v>
      </c>
      <c r="B228">
        <f t="shared" si="43"/>
        <v>1228</v>
      </c>
      <c r="C228" t="str">
        <f t="shared" ca="1" si="44"/>
        <v>V3</v>
      </c>
      <c r="D228">
        <f t="shared" ca="1" si="45"/>
        <v>30</v>
      </c>
      <c r="E228">
        <f t="shared" ca="1" si="46"/>
        <v>20</v>
      </c>
      <c r="F228">
        <f t="shared" ca="1" si="47"/>
        <v>4</v>
      </c>
      <c r="G228">
        <f t="shared" ca="1" si="48"/>
        <v>0.2</v>
      </c>
      <c r="H228">
        <f t="shared" ca="1" si="49"/>
        <v>4</v>
      </c>
      <c r="I228">
        <f t="shared" ca="1" si="50"/>
        <v>0</v>
      </c>
      <c r="J228">
        <f t="shared" ca="1" si="51"/>
        <v>0</v>
      </c>
      <c r="K228">
        <f t="shared" ca="1" si="52"/>
        <v>0</v>
      </c>
      <c r="L228">
        <f t="shared" ca="1" si="53"/>
        <v>0</v>
      </c>
      <c r="M228">
        <f t="shared" ca="1" si="54"/>
        <v>0</v>
      </c>
      <c r="N228" t="str">
        <f t="shared" ca="1" si="55"/>
        <v>Medium</v>
      </c>
    </row>
    <row r="229" spans="1:14" x14ac:dyDescent="0.25">
      <c r="A229">
        <f t="shared" si="42"/>
        <v>228</v>
      </c>
      <c r="B229">
        <f t="shared" si="43"/>
        <v>1229</v>
      </c>
      <c r="C229" t="str">
        <f t="shared" ca="1" si="44"/>
        <v>V3</v>
      </c>
      <c r="D229">
        <f t="shared" ca="1" si="45"/>
        <v>45</v>
      </c>
      <c r="E229">
        <f t="shared" ca="1" si="46"/>
        <v>25</v>
      </c>
      <c r="F229">
        <f t="shared" ca="1" si="47"/>
        <v>6</v>
      </c>
      <c r="G229">
        <f t="shared" ca="1" si="48"/>
        <v>0.24</v>
      </c>
      <c r="H229">
        <f t="shared" ca="1" si="49"/>
        <v>1</v>
      </c>
      <c r="I229">
        <f t="shared" ca="1" si="50"/>
        <v>3</v>
      </c>
      <c r="J229">
        <f t="shared" ca="1" si="51"/>
        <v>0</v>
      </c>
      <c r="K229">
        <f t="shared" ca="1" si="52"/>
        <v>0</v>
      </c>
      <c r="L229">
        <f t="shared" ca="1" si="53"/>
        <v>0</v>
      </c>
      <c r="M229">
        <f t="shared" ca="1" si="54"/>
        <v>1</v>
      </c>
      <c r="N229" t="str">
        <f t="shared" ca="1" si="55"/>
        <v>Medium</v>
      </c>
    </row>
    <row r="230" spans="1:14" x14ac:dyDescent="0.25">
      <c r="A230">
        <f t="shared" si="42"/>
        <v>229</v>
      </c>
      <c r="B230">
        <f t="shared" si="43"/>
        <v>1230</v>
      </c>
      <c r="C230" t="str">
        <f t="shared" ca="1" si="44"/>
        <v>V1</v>
      </c>
      <c r="D230">
        <f t="shared" ca="1" si="45"/>
        <v>45</v>
      </c>
      <c r="E230">
        <f t="shared" ca="1" si="46"/>
        <v>34</v>
      </c>
      <c r="F230">
        <f t="shared" ca="1" si="47"/>
        <v>7</v>
      </c>
      <c r="G230">
        <f t="shared" ca="1" si="48"/>
        <v>0.20588235294117646</v>
      </c>
      <c r="H230">
        <f t="shared" ca="1" si="49"/>
        <v>6</v>
      </c>
      <c r="I230">
        <f t="shared" ca="1" si="50"/>
        <v>3</v>
      </c>
      <c r="J230">
        <f t="shared" ca="1" si="51"/>
        <v>0</v>
      </c>
      <c r="K230">
        <f t="shared" ca="1" si="52"/>
        <v>0</v>
      </c>
      <c r="L230">
        <f t="shared" ca="1" si="53"/>
        <v>0</v>
      </c>
      <c r="M230">
        <f t="shared" ca="1" si="54"/>
        <v>0</v>
      </c>
      <c r="N230" t="str">
        <f t="shared" ca="1" si="55"/>
        <v>Medium</v>
      </c>
    </row>
    <row r="231" spans="1:14" x14ac:dyDescent="0.25">
      <c r="A231">
        <f t="shared" si="42"/>
        <v>230</v>
      </c>
      <c r="B231">
        <f t="shared" si="43"/>
        <v>1231</v>
      </c>
      <c r="C231" t="str">
        <f t="shared" ca="1" si="44"/>
        <v>V1</v>
      </c>
      <c r="D231">
        <f t="shared" ca="1" si="45"/>
        <v>30</v>
      </c>
      <c r="E231">
        <f t="shared" ca="1" si="46"/>
        <v>26</v>
      </c>
      <c r="F231">
        <f t="shared" ca="1" si="47"/>
        <v>7</v>
      </c>
      <c r="G231">
        <f t="shared" ca="1" si="48"/>
        <v>0.26923076923076922</v>
      </c>
      <c r="H231">
        <f t="shared" ca="1" si="49"/>
        <v>4</v>
      </c>
      <c r="I231">
        <f t="shared" ca="1" si="50"/>
        <v>0</v>
      </c>
      <c r="J231">
        <f t="shared" ca="1" si="51"/>
        <v>0</v>
      </c>
      <c r="K231">
        <f t="shared" ca="1" si="52"/>
        <v>0</v>
      </c>
      <c r="L231">
        <f t="shared" ca="1" si="53"/>
        <v>0</v>
      </c>
      <c r="M231">
        <f t="shared" ca="1" si="54"/>
        <v>0</v>
      </c>
      <c r="N231" t="str">
        <f t="shared" ca="1" si="55"/>
        <v>Medium</v>
      </c>
    </row>
    <row r="232" spans="1:14" x14ac:dyDescent="0.25">
      <c r="A232">
        <f t="shared" si="42"/>
        <v>231</v>
      </c>
      <c r="B232">
        <f t="shared" si="43"/>
        <v>1232</v>
      </c>
      <c r="C232" t="str">
        <f t="shared" ca="1" si="44"/>
        <v>V2</v>
      </c>
      <c r="D232">
        <f t="shared" ca="1" si="45"/>
        <v>45</v>
      </c>
      <c r="E232">
        <f t="shared" ca="1" si="46"/>
        <v>42</v>
      </c>
      <c r="F232">
        <f t="shared" ca="1" si="47"/>
        <v>3</v>
      </c>
      <c r="G232">
        <f t="shared" ca="1" si="48"/>
        <v>7.1428571428571425E-2</v>
      </c>
      <c r="H232">
        <f t="shared" ca="1" si="49"/>
        <v>3</v>
      </c>
      <c r="I232">
        <f t="shared" ca="1" si="50"/>
        <v>0</v>
      </c>
      <c r="J232">
        <f t="shared" ca="1" si="51"/>
        <v>0</v>
      </c>
      <c r="K232">
        <f t="shared" ca="1" si="52"/>
        <v>1</v>
      </c>
      <c r="L232">
        <f t="shared" ca="1" si="53"/>
        <v>0</v>
      </c>
      <c r="M232">
        <f t="shared" ca="1" si="54"/>
        <v>1</v>
      </c>
      <c r="N232" t="str">
        <f t="shared" ca="1" si="55"/>
        <v>Low</v>
      </c>
    </row>
    <row r="233" spans="1:14" x14ac:dyDescent="0.25">
      <c r="A233">
        <f t="shared" si="42"/>
        <v>232</v>
      </c>
      <c r="B233">
        <f t="shared" si="43"/>
        <v>1233</v>
      </c>
      <c r="C233" t="str">
        <f t="shared" ca="1" si="44"/>
        <v>V2</v>
      </c>
      <c r="D233">
        <f t="shared" ca="1" si="45"/>
        <v>60</v>
      </c>
      <c r="E233">
        <f t="shared" ca="1" si="46"/>
        <v>49</v>
      </c>
      <c r="F233">
        <f t="shared" ca="1" si="47"/>
        <v>8</v>
      </c>
      <c r="G233">
        <f t="shared" ca="1" si="48"/>
        <v>0.16326530612244897</v>
      </c>
      <c r="H233">
        <f t="shared" ca="1" si="49"/>
        <v>0</v>
      </c>
      <c r="I233">
        <f t="shared" ca="1" si="50"/>
        <v>4</v>
      </c>
      <c r="J233">
        <f t="shared" ca="1" si="51"/>
        <v>0</v>
      </c>
      <c r="K233">
        <f t="shared" ca="1" si="52"/>
        <v>0</v>
      </c>
      <c r="L233">
        <f t="shared" ca="1" si="53"/>
        <v>0</v>
      </c>
      <c r="M233">
        <f t="shared" ca="1" si="54"/>
        <v>1</v>
      </c>
      <c r="N233" t="str">
        <f t="shared" ca="1" si="55"/>
        <v>Low</v>
      </c>
    </row>
    <row r="234" spans="1:14" x14ac:dyDescent="0.25">
      <c r="A234">
        <f t="shared" si="42"/>
        <v>233</v>
      </c>
      <c r="B234">
        <f t="shared" si="43"/>
        <v>1234</v>
      </c>
      <c r="C234" t="str">
        <f t="shared" ca="1" si="44"/>
        <v>V2</v>
      </c>
      <c r="D234">
        <f t="shared" ca="1" si="45"/>
        <v>30</v>
      </c>
      <c r="E234">
        <f t="shared" ca="1" si="46"/>
        <v>23</v>
      </c>
      <c r="F234">
        <f t="shared" ca="1" si="47"/>
        <v>8</v>
      </c>
      <c r="G234">
        <f t="shared" ca="1" si="48"/>
        <v>0.34782608695652173</v>
      </c>
      <c r="H234">
        <f t="shared" ca="1" si="49"/>
        <v>4</v>
      </c>
      <c r="I234">
        <f t="shared" ca="1" si="50"/>
        <v>2</v>
      </c>
      <c r="J234">
        <f t="shared" ca="1" si="51"/>
        <v>0</v>
      </c>
      <c r="K234">
        <f t="shared" ca="1" si="52"/>
        <v>0</v>
      </c>
      <c r="L234">
        <f t="shared" ca="1" si="53"/>
        <v>1</v>
      </c>
      <c r="M234">
        <f t="shared" ca="1" si="54"/>
        <v>0</v>
      </c>
      <c r="N234" t="str">
        <f t="shared" ca="1" si="55"/>
        <v>Medium</v>
      </c>
    </row>
    <row r="235" spans="1:14" x14ac:dyDescent="0.25">
      <c r="A235">
        <f t="shared" si="42"/>
        <v>234</v>
      </c>
      <c r="B235">
        <f t="shared" si="43"/>
        <v>1235</v>
      </c>
      <c r="C235" t="str">
        <f t="shared" ca="1" si="44"/>
        <v>V2</v>
      </c>
      <c r="D235">
        <f t="shared" ca="1" si="45"/>
        <v>30</v>
      </c>
      <c r="E235">
        <f t="shared" ca="1" si="46"/>
        <v>17</v>
      </c>
      <c r="F235">
        <f t="shared" ca="1" si="47"/>
        <v>7</v>
      </c>
      <c r="G235">
        <f t="shared" ca="1" si="48"/>
        <v>0.41176470588235292</v>
      </c>
      <c r="H235">
        <f t="shared" ca="1" si="49"/>
        <v>2</v>
      </c>
      <c r="I235">
        <f t="shared" ca="1" si="50"/>
        <v>2</v>
      </c>
      <c r="J235">
        <f t="shared" ca="1" si="51"/>
        <v>0</v>
      </c>
      <c r="K235">
        <f t="shared" ca="1" si="52"/>
        <v>0</v>
      </c>
      <c r="L235">
        <f t="shared" ca="1" si="53"/>
        <v>0</v>
      </c>
      <c r="M235">
        <f t="shared" ca="1" si="54"/>
        <v>1</v>
      </c>
      <c r="N235" t="str">
        <f t="shared" ca="1" si="55"/>
        <v>Medium</v>
      </c>
    </row>
    <row r="236" spans="1:14" x14ac:dyDescent="0.25">
      <c r="A236">
        <f t="shared" si="42"/>
        <v>235</v>
      </c>
      <c r="B236">
        <f t="shared" si="43"/>
        <v>1236</v>
      </c>
      <c r="C236" t="str">
        <f t="shared" ca="1" si="44"/>
        <v>V1</v>
      </c>
      <c r="D236">
        <f t="shared" ca="1" si="45"/>
        <v>45</v>
      </c>
      <c r="E236">
        <f t="shared" ca="1" si="46"/>
        <v>43</v>
      </c>
      <c r="F236">
        <f t="shared" ca="1" si="47"/>
        <v>1</v>
      </c>
      <c r="G236">
        <f t="shared" ca="1" si="48"/>
        <v>2.3255813953488372E-2</v>
      </c>
      <c r="H236">
        <f t="shared" ca="1" si="49"/>
        <v>6</v>
      </c>
      <c r="I236">
        <f t="shared" ca="1" si="50"/>
        <v>1</v>
      </c>
      <c r="J236">
        <f t="shared" ca="1" si="51"/>
        <v>0</v>
      </c>
      <c r="K236">
        <f t="shared" ca="1" si="52"/>
        <v>1</v>
      </c>
      <c r="L236">
        <f t="shared" ca="1" si="53"/>
        <v>0</v>
      </c>
      <c r="M236">
        <f t="shared" ca="1" si="54"/>
        <v>0</v>
      </c>
      <c r="N236" t="str">
        <f t="shared" ca="1" si="55"/>
        <v>Low</v>
      </c>
    </row>
    <row r="237" spans="1:14" x14ac:dyDescent="0.25">
      <c r="A237">
        <f t="shared" si="42"/>
        <v>236</v>
      </c>
      <c r="B237">
        <f t="shared" si="43"/>
        <v>1237</v>
      </c>
      <c r="C237" t="str">
        <f t="shared" ca="1" si="44"/>
        <v>V3</v>
      </c>
      <c r="D237">
        <f t="shared" ca="1" si="45"/>
        <v>45</v>
      </c>
      <c r="E237">
        <f t="shared" ca="1" si="46"/>
        <v>19</v>
      </c>
      <c r="F237">
        <f t="shared" ca="1" si="47"/>
        <v>5</v>
      </c>
      <c r="G237">
        <f t="shared" ca="1" si="48"/>
        <v>0.26315789473684209</v>
      </c>
      <c r="H237">
        <f t="shared" ca="1" si="49"/>
        <v>3</v>
      </c>
      <c r="I237">
        <f t="shared" ca="1" si="50"/>
        <v>4</v>
      </c>
      <c r="J237">
        <f t="shared" ca="1" si="51"/>
        <v>1</v>
      </c>
      <c r="K237">
        <f t="shared" ca="1" si="52"/>
        <v>0</v>
      </c>
      <c r="L237">
        <f t="shared" ca="1" si="53"/>
        <v>0</v>
      </c>
      <c r="M237">
        <f t="shared" ca="1" si="54"/>
        <v>1</v>
      </c>
      <c r="N237" t="str">
        <f t="shared" ca="1" si="55"/>
        <v>Medium</v>
      </c>
    </row>
    <row r="238" spans="1:14" x14ac:dyDescent="0.25">
      <c r="A238">
        <f t="shared" si="42"/>
        <v>237</v>
      </c>
      <c r="B238">
        <f t="shared" si="43"/>
        <v>1238</v>
      </c>
      <c r="C238" t="str">
        <f t="shared" ca="1" si="44"/>
        <v>V1</v>
      </c>
      <c r="D238">
        <f t="shared" ca="1" si="45"/>
        <v>45</v>
      </c>
      <c r="E238">
        <f t="shared" ca="1" si="46"/>
        <v>18</v>
      </c>
      <c r="F238">
        <f t="shared" ca="1" si="47"/>
        <v>2</v>
      </c>
      <c r="G238">
        <f t="shared" ca="1" si="48"/>
        <v>0.1111111111111111</v>
      </c>
      <c r="H238">
        <f t="shared" ca="1" si="49"/>
        <v>4</v>
      </c>
      <c r="I238">
        <f t="shared" ca="1" si="50"/>
        <v>2</v>
      </c>
      <c r="J238">
        <f t="shared" ca="1" si="51"/>
        <v>0</v>
      </c>
      <c r="K238">
        <f t="shared" ca="1" si="52"/>
        <v>0</v>
      </c>
      <c r="L238">
        <f t="shared" ca="1" si="53"/>
        <v>0</v>
      </c>
      <c r="M238">
        <f t="shared" ca="1" si="54"/>
        <v>0</v>
      </c>
      <c r="N238" t="str">
        <f t="shared" ca="1" si="55"/>
        <v>Low</v>
      </c>
    </row>
    <row r="239" spans="1:14" x14ac:dyDescent="0.25">
      <c r="A239">
        <f t="shared" si="42"/>
        <v>238</v>
      </c>
      <c r="B239">
        <f t="shared" si="43"/>
        <v>1239</v>
      </c>
      <c r="C239" t="str">
        <f t="shared" ca="1" si="44"/>
        <v>V2</v>
      </c>
      <c r="D239">
        <f t="shared" ca="1" si="45"/>
        <v>60</v>
      </c>
      <c r="E239">
        <f t="shared" ca="1" si="46"/>
        <v>38</v>
      </c>
      <c r="F239">
        <f t="shared" ca="1" si="47"/>
        <v>2</v>
      </c>
      <c r="G239">
        <f t="shared" ca="1" si="48"/>
        <v>5.2631578947368418E-2</v>
      </c>
      <c r="H239">
        <f t="shared" ca="1" si="49"/>
        <v>1</v>
      </c>
      <c r="I239">
        <f t="shared" ca="1" si="50"/>
        <v>2</v>
      </c>
      <c r="J239">
        <f t="shared" ca="1" si="51"/>
        <v>0</v>
      </c>
      <c r="K239">
        <f t="shared" ca="1" si="52"/>
        <v>0</v>
      </c>
      <c r="L239">
        <f t="shared" ca="1" si="53"/>
        <v>0</v>
      </c>
      <c r="M239">
        <f t="shared" ca="1" si="54"/>
        <v>1</v>
      </c>
      <c r="N239" t="str">
        <f t="shared" ca="1" si="55"/>
        <v>Low</v>
      </c>
    </row>
    <row r="240" spans="1:14" x14ac:dyDescent="0.25">
      <c r="A240">
        <f t="shared" si="42"/>
        <v>239</v>
      </c>
      <c r="B240">
        <f t="shared" si="43"/>
        <v>1240</v>
      </c>
      <c r="C240" t="str">
        <f t="shared" ca="1" si="44"/>
        <v>V2</v>
      </c>
      <c r="D240">
        <f t="shared" ca="1" si="45"/>
        <v>60</v>
      </c>
      <c r="E240">
        <f t="shared" ca="1" si="46"/>
        <v>45</v>
      </c>
      <c r="F240">
        <f t="shared" ca="1" si="47"/>
        <v>7</v>
      </c>
      <c r="G240">
        <f t="shared" ca="1" si="48"/>
        <v>0.15555555555555556</v>
      </c>
      <c r="H240">
        <f t="shared" ca="1" si="49"/>
        <v>5</v>
      </c>
      <c r="I240">
        <f t="shared" ca="1" si="50"/>
        <v>2</v>
      </c>
      <c r="J240">
        <f t="shared" ca="1" si="51"/>
        <v>1</v>
      </c>
      <c r="K240">
        <f t="shared" ca="1" si="52"/>
        <v>0</v>
      </c>
      <c r="L240">
        <f t="shared" ca="1" si="53"/>
        <v>0</v>
      </c>
      <c r="M240">
        <f t="shared" ca="1" si="54"/>
        <v>0</v>
      </c>
      <c r="N240" t="str">
        <f t="shared" ca="1" si="55"/>
        <v>Low</v>
      </c>
    </row>
    <row r="241" spans="1:14" x14ac:dyDescent="0.25">
      <c r="A241">
        <f t="shared" si="42"/>
        <v>240</v>
      </c>
      <c r="B241">
        <f t="shared" si="43"/>
        <v>1241</v>
      </c>
      <c r="C241" t="str">
        <f t="shared" ca="1" si="44"/>
        <v>V1</v>
      </c>
      <c r="D241">
        <f t="shared" ca="1" si="45"/>
        <v>60</v>
      </c>
      <c r="E241">
        <f t="shared" ca="1" si="46"/>
        <v>49</v>
      </c>
      <c r="F241">
        <f t="shared" ca="1" si="47"/>
        <v>5</v>
      </c>
      <c r="G241">
        <f t="shared" ca="1" si="48"/>
        <v>0.10204081632653061</v>
      </c>
      <c r="H241">
        <f t="shared" ca="1" si="49"/>
        <v>4</v>
      </c>
      <c r="I241">
        <f t="shared" ca="1" si="50"/>
        <v>2</v>
      </c>
      <c r="J241">
        <f t="shared" ca="1" si="51"/>
        <v>1</v>
      </c>
      <c r="K241">
        <f t="shared" ca="1" si="52"/>
        <v>0</v>
      </c>
      <c r="L241">
        <f t="shared" ca="1" si="53"/>
        <v>0</v>
      </c>
      <c r="M241">
        <f t="shared" ca="1" si="54"/>
        <v>0</v>
      </c>
      <c r="N241" t="str">
        <f t="shared" ca="1" si="55"/>
        <v>Low</v>
      </c>
    </row>
    <row r="242" spans="1:14" x14ac:dyDescent="0.25">
      <c r="A242">
        <f t="shared" si="42"/>
        <v>241</v>
      </c>
      <c r="B242">
        <f t="shared" si="43"/>
        <v>1242</v>
      </c>
      <c r="C242" t="str">
        <f t="shared" ca="1" si="44"/>
        <v>V1</v>
      </c>
      <c r="D242">
        <f t="shared" ca="1" si="45"/>
        <v>60</v>
      </c>
      <c r="E242">
        <f t="shared" ca="1" si="46"/>
        <v>24</v>
      </c>
      <c r="F242">
        <f t="shared" ca="1" si="47"/>
        <v>4</v>
      </c>
      <c r="G242">
        <f t="shared" ca="1" si="48"/>
        <v>0.16666666666666666</v>
      </c>
      <c r="H242">
        <f t="shared" ca="1" si="49"/>
        <v>4</v>
      </c>
      <c r="I242">
        <f t="shared" ca="1" si="50"/>
        <v>3</v>
      </c>
      <c r="J242">
        <f t="shared" ca="1" si="51"/>
        <v>1</v>
      </c>
      <c r="K242">
        <f t="shared" ca="1" si="52"/>
        <v>0</v>
      </c>
      <c r="L242">
        <f t="shared" ca="1" si="53"/>
        <v>0</v>
      </c>
      <c r="M242">
        <f t="shared" ca="1" si="54"/>
        <v>0</v>
      </c>
      <c r="N242" t="str">
        <f t="shared" ca="1" si="55"/>
        <v>Low</v>
      </c>
    </row>
    <row r="243" spans="1:14" x14ac:dyDescent="0.25">
      <c r="A243">
        <f t="shared" si="42"/>
        <v>242</v>
      </c>
      <c r="B243">
        <f t="shared" si="43"/>
        <v>1243</v>
      </c>
      <c r="C243" t="str">
        <f t="shared" ca="1" si="44"/>
        <v>V2</v>
      </c>
      <c r="D243">
        <f t="shared" ca="1" si="45"/>
        <v>45</v>
      </c>
      <c r="E243">
        <f t="shared" ca="1" si="46"/>
        <v>30</v>
      </c>
      <c r="F243">
        <f t="shared" ca="1" si="47"/>
        <v>6</v>
      </c>
      <c r="G243">
        <f t="shared" ca="1" si="48"/>
        <v>0.2</v>
      </c>
      <c r="H243">
        <f t="shared" ca="1" si="49"/>
        <v>0</v>
      </c>
      <c r="I243">
        <f t="shared" ca="1" si="50"/>
        <v>3</v>
      </c>
      <c r="J243">
        <f t="shared" ca="1" si="51"/>
        <v>1</v>
      </c>
      <c r="K243">
        <f t="shared" ca="1" si="52"/>
        <v>0</v>
      </c>
      <c r="L243">
        <f t="shared" ca="1" si="53"/>
        <v>0</v>
      </c>
      <c r="M243">
        <f t="shared" ca="1" si="54"/>
        <v>1</v>
      </c>
      <c r="N243" t="str">
        <f t="shared" ca="1" si="55"/>
        <v>Medium</v>
      </c>
    </row>
    <row r="244" spans="1:14" x14ac:dyDescent="0.25">
      <c r="A244">
        <f t="shared" si="42"/>
        <v>243</v>
      </c>
      <c r="B244">
        <f t="shared" si="43"/>
        <v>1244</v>
      </c>
      <c r="C244" t="str">
        <f t="shared" ca="1" si="44"/>
        <v>V2</v>
      </c>
      <c r="D244">
        <f t="shared" ca="1" si="45"/>
        <v>60</v>
      </c>
      <c r="E244">
        <f t="shared" ca="1" si="46"/>
        <v>24</v>
      </c>
      <c r="F244">
        <f t="shared" ca="1" si="47"/>
        <v>7</v>
      </c>
      <c r="G244">
        <f t="shared" ca="1" si="48"/>
        <v>0.29166666666666669</v>
      </c>
      <c r="H244">
        <f t="shared" ca="1" si="49"/>
        <v>4</v>
      </c>
      <c r="I244">
        <f t="shared" ca="1" si="50"/>
        <v>4</v>
      </c>
      <c r="J244">
        <f t="shared" ca="1" si="51"/>
        <v>0</v>
      </c>
      <c r="K244">
        <f t="shared" ca="1" si="52"/>
        <v>0</v>
      </c>
      <c r="L244">
        <f t="shared" ca="1" si="53"/>
        <v>0</v>
      </c>
      <c r="M244">
        <f t="shared" ca="1" si="54"/>
        <v>1</v>
      </c>
      <c r="N244" t="str">
        <f t="shared" ca="1" si="55"/>
        <v>Medium</v>
      </c>
    </row>
    <row r="245" spans="1:14" x14ac:dyDescent="0.25">
      <c r="A245">
        <f t="shared" si="42"/>
        <v>244</v>
      </c>
      <c r="B245">
        <f t="shared" si="43"/>
        <v>1245</v>
      </c>
      <c r="C245" t="str">
        <f t="shared" ca="1" si="44"/>
        <v>V1</v>
      </c>
      <c r="D245">
        <f t="shared" ca="1" si="45"/>
        <v>30</v>
      </c>
      <c r="E245">
        <f t="shared" ca="1" si="46"/>
        <v>26</v>
      </c>
      <c r="F245">
        <f t="shared" ca="1" si="47"/>
        <v>1</v>
      </c>
      <c r="G245">
        <f t="shared" ca="1" si="48"/>
        <v>3.8461538461538464E-2</v>
      </c>
      <c r="H245">
        <f t="shared" ca="1" si="49"/>
        <v>3</v>
      </c>
      <c r="I245">
        <f t="shared" ca="1" si="50"/>
        <v>4</v>
      </c>
      <c r="J245">
        <f t="shared" ca="1" si="51"/>
        <v>1</v>
      </c>
      <c r="K245">
        <f t="shared" ca="1" si="52"/>
        <v>0</v>
      </c>
      <c r="L245">
        <f t="shared" ca="1" si="53"/>
        <v>0</v>
      </c>
      <c r="M245">
        <f t="shared" ca="1" si="54"/>
        <v>0</v>
      </c>
      <c r="N245" t="str">
        <f t="shared" ca="1" si="55"/>
        <v>Low</v>
      </c>
    </row>
    <row r="246" spans="1:14" x14ac:dyDescent="0.25">
      <c r="A246">
        <f t="shared" si="42"/>
        <v>245</v>
      </c>
      <c r="B246">
        <f t="shared" si="43"/>
        <v>1246</v>
      </c>
      <c r="C246" t="str">
        <f t="shared" ca="1" si="44"/>
        <v>V2</v>
      </c>
      <c r="D246">
        <f t="shared" ca="1" si="45"/>
        <v>30</v>
      </c>
      <c r="E246">
        <f t="shared" ca="1" si="46"/>
        <v>15</v>
      </c>
      <c r="F246">
        <f t="shared" ca="1" si="47"/>
        <v>3</v>
      </c>
      <c r="G246">
        <f t="shared" ca="1" si="48"/>
        <v>0.2</v>
      </c>
      <c r="H246">
        <f t="shared" ca="1" si="49"/>
        <v>6</v>
      </c>
      <c r="I246">
        <f t="shared" ca="1" si="50"/>
        <v>4</v>
      </c>
      <c r="J246">
        <f t="shared" ca="1" si="51"/>
        <v>0</v>
      </c>
      <c r="K246">
        <f t="shared" ca="1" si="52"/>
        <v>0</v>
      </c>
      <c r="L246">
        <f t="shared" ca="1" si="53"/>
        <v>0</v>
      </c>
      <c r="M246">
        <f t="shared" ca="1" si="54"/>
        <v>0</v>
      </c>
      <c r="N246" t="str">
        <f t="shared" ca="1" si="55"/>
        <v>Medium</v>
      </c>
    </row>
    <row r="247" spans="1:14" x14ac:dyDescent="0.25">
      <c r="A247">
        <f t="shared" si="42"/>
        <v>246</v>
      </c>
      <c r="B247">
        <f t="shared" si="43"/>
        <v>1247</v>
      </c>
      <c r="C247" t="str">
        <f t="shared" ca="1" si="44"/>
        <v>V1</v>
      </c>
      <c r="D247">
        <f t="shared" ca="1" si="45"/>
        <v>60</v>
      </c>
      <c r="E247">
        <f t="shared" ca="1" si="46"/>
        <v>55</v>
      </c>
      <c r="F247">
        <f t="shared" ca="1" si="47"/>
        <v>6</v>
      </c>
      <c r="G247">
        <f t="shared" ca="1" si="48"/>
        <v>0.10909090909090909</v>
      </c>
      <c r="H247">
        <f t="shared" ca="1" si="49"/>
        <v>4</v>
      </c>
      <c r="I247">
        <f t="shared" ca="1" si="50"/>
        <v>1</v>
      </c>
      <c r="J247">
        <f t="shared" ca="1" si="51"/>
        <v>0</v>
      </c>
      <c r="K247">
        <f t="shared" ca="1" si="52"/>
        <v>1</v>
      </c>
      <c r="L247">
        <f t="shared" ca="1" si="53"/>
        <v>0</v>
      </c>
      <c r="M247">
        <f t="shared" ca="1" si="54"/>
        <v>0</v>
      </c>
      <c r="N247" t="str">
        <f t="shared" ca="1" si="55"/>
        <v>Low</v>
      </c>
    </row>
    <row r="248" spans="1:14" x14ac:dyDescent="0.25">
      <c r="A248">
        <f t="shared" si="42"/>
        <v>247</v>
      </c>
      <c r="B248">
        <f t="shared" si="43"/>
        <v>1248</v>
      </c>
      <c r="C248" t="str">
        <f t="shared" ca="1" si="44"/>
        <v>V3</v>
      </c>
      <c r="D248">
        <f t="shared" ca="1" si="45"/>
        <v>30</v>
      </c>
      <c r="E248">
        <f t="shared" ca="1" si="46"/>
        <v>24</v>
      </c>
      <c r="F248">
        <f t="shared" ca="1" si="47"/>
        <v>1</v>
      </c>
      <c r="G248">
        <f t="shared" ca="1" si="48"/>
        <v>4.1666666666666664E-2</v>
      </c>
      <c r="H248">
        <f t="shared" ca="1" si="49"/>
        <v>6</v>
      </c>
      <c r="I248">
        <f t="shared" ca="1" si="50"/>
        <v>2</v>
      </c>
      <c r="J248">
        <f t="shared" ca="1" si="51"/>
        <v>1</v>
      </c>
      <c r="K248">
        <f t="shared" ca="1" si="52"/>
        <v>0</v>
      </c>
      <c r="L248">
        <f t="shared" ca="1" si="53"/>
        <v>0</v>
      </c>
      <c r="M248">
        <f t="shared" ca="1" si="54"/>
        <v>0</v>
      </c>
      <c r="N248" t="str">
        <f t="shared" ca="1" si="55"/>
        <v>Low</v>
      </c>
    </row>
    <row r="249" spans="1:14" x14ac:dyDescent="0.25">
      <c r="A249">
        <f t="shared" si="42"/>
        <v>248</v>
      </c>
      <c r="B249">
        <f t="shared" si="43"/>
        <v>1249</v>
      </c>
      <c r="C249" t="str">
        <f t="shared" ca="1" si="44"/>
        <v>V1</v>
      </c>
      <c r="D249">
        <f t="shared" ca="1" si="45"/>
        <v>60</v>
      </c>
      <c r="E249">
        <f t="shared" ca="1" si="46"/>
        <v>41</v>
      </c>
      <c r="F249">
        <f t="shared" ca="1" si="47"/>
        <v>3</v>
      </c>
      <c r="G249">
        <f t="shared" ca="1" si="48"/>
        <v>7.3170731707317069E-2</v>
      </c>
      <c r="H249">
        <f t="shared" ca="1" si="49"/>
        <v>3</v>
      </c>
      <c r="I249">
        <f t="shared" ca="1" si="50"/>
        <v>4</v>
      </c>
      <c r="J249">
        <f t="shared" ca="1" si="51"/>
        <v>1</v>
      </c>
      <c r="K249">
        <f t="shared" ca="1" si="52"/>
        <v>0</v>
      </c>
      <c r="L249">
        <f t="shared" ca="1" si="53"/>
        <v>0</v>
      </c>
      <c r="M249">
        <f t="shared" ca="1" si="54"/>
        <v>0</v>
      </c>
      <c r="N249" t="str">
        <f t="shared" ca="1" si="55"/>
        <v>Low</v>
      </c>
    </row>
    <row r="250" spans="1:14" x14ac:dyDescent="0.25">
      <c r="A250">
        <f t="shared" si="42"/>
        <v>249</v>
      </c>
      <c r="B250">
        <f t="shared" si="43"/>
        <v>1250</v>
      </c>
      <c r="C250" t="str">
        <f t="shared" ca="1" si="44"/>
        <v>V1</v>
      </c>
      <c r="D250">
        <f t="shared" ca="1" si="45"/>
        <v>60</v>
      </c>
      <c r="E250">
        <f t="shared" ca="1" si="46"/>
        <v>25</v>
      </c>
      <c r="F250">
        <f t="shared" ca="1" si="47"/>
        <v>3</v>
      </c>
      <c r="G250">
        <f t="shared" ca="1" si="48"/>
        <v>0.12</v>
      </c>
      <c r="H250">
        <f t="shared" ca="1" si="49"/>
        <v>2</v>
      </c>
      <c r="I250">
        <f t="shared" ca="1" si="50"/>
        <v>4</v>
      </c>
      <c r="J250">
        <f t="shared" ca="1" si="51"/>
        <v>1</v>
      </c>
      <c r="K250">
        <f t="shared" ca="1" si="52"/>
        <v>0</v>
      </c>
      <c r="L250">
        <f t="shared" ca="1" si="53"/>
        <v>0</v>
      </c>
      <c r="M250">
        <f t="shared" ca="1" si="54"/>
        <v>1</v>
      </c>
      <c r="N250" t="str">
        <f t="shared" ca="1" si="55"/>
        <v>Low</v>
      </c>
    </row>
    <row r="251" spans="1:14" x14ac:dyDescent="0.25">
      <c r="A251">
        <f t="shared" si="42"/>
        <v>250</v>
      </c>
      <c r="B251">
        <f t="shared" si="43"/>
        <v>1251</v>
      </c>
      <c r="C251" t="str">
        <f t="shared" ca="1" si="44"/>
        <v>V3</v>
      </c>
      <c r="D251">
        <f t="shared" ca="1" si="45"/>
        <v>60</v>
      </c>
      <c r="E251">
        <f t="shared" ca="1" si="46"/>
        <v>29</v>
      </c>
      <c r="F251">
        <f t="shared" ca="1" si="47"/>
        <v>5</v>
      </c>
      <c r="G251">
        <f t="shared" ca="1" si="48"/>
        <v>0.17241379310344829</v>
      </c>
      <c r="H251">
        <f t="shared" ca="1" si="49"/>
        <v>1</v>
      </c>
      <c r="I251">
        <f t="shared" ca="1" si="50"/>
        <v>3</v>
      </c>
      <c r="J251">
        <f t="shared" ca="1" si="51"/>
        <v>1</v>
      </c>
      <c r="K251">
        <f t="shared" ca="1" si="52"/>
        <v>0</v>
      </c>
      <c r="L251">
        <f t="shared" ca="1" si="53"/>
        <v>0</v>
      </c>
      <c r="M251">
        <f t="shared" ca="1" si="54"/>
        <v>1</v>
      </c>
      <c r="N251" t="str">
        <f t="shared" ca="1" si="55"/>
        <v>Low</v>
      </c>
    </row>
    <row r="252" spans="1:14" x14ac:dyDescent="0.25">
      <c r="A252">
        <f t="shared" si="42"/>
        <v>251</v>
      </c>
      <c r="B252">
        <f t="shared" si="43"/>
        <v>1252</v>
      </c>
      <c r="C252" t="str">
        <f t="shared" ca="1" si="44"/>
        <v>V3</v>
      </c>
      <c r="D252">
        <f t="shared" ca="1" si="45"/>
        <v>60</v>
      </c>
      <c r="E252">
        <f t="shared" ca="1" si="46"/>
        <v>46</v>
      </c>
      <c r="F252">
        <f t="shared" ca="1" si="47"/>
        <v>6</v>
      </c>
      <c r="G252">
        <f t="shared" ca="1" si="48"/>
        <v>0.13043478260869565</v>
      </c>
      <c r="H252">
        <f t="shared" ca="1" si="49"/>
        <v>2</v>
      </c>
      <c r="I252">
        <f t="shared" ca="1" si="50"/>
        <v>1</v>
      </c>
      <c r="J252">
        <f t="shared" ca="1" si="51"/>
        <v>1</v>
      </c>
      <c r="K252">
        <f t="shared" ca="1" si="52"/>
        <v>0</v>
      </c>
      <c r="L252">
        <f t="shared" ca="1" si="53"/>
        <v>0</v>
      </c>
      <c r="M252">
        <f t="shared" ca="1" si="54"/>
        <v>0</v>
      </c>
      <c r="N252" t="str">
        <f t="shared" ca="1" si="55"/>
        <v>Low</v>
      </c>
    </row>
    <row r="253" spans="1:14" x14ac:dyDescent="0.25">
      <c r="A253">
        <f t="shared" si="42"/>
        <v>252</v>
      </c>
      <c r="B253">
        <f t="shared" si="43"/>
        <v>1253</v>
      </c>
      <c r="C253" t="str">
        <f t="shared" ca="1" si="44"/>
        <v>V3</v>
      </c>
      <c r="D253">
        <f t="shared" ca="1" si="45"/>
        <v>30</v>
      </c>
      <c r="E253">
        <f t="shared" ca="1" si="46"/>
        <v>26</v>
      </c>
      <c r="F253">
        <f t="shared" ca="1" si="47"/>
        <v>5</v>
      </c>
      <c r="G253">
        <f t="shared" ca="1" si="48"/>
        <v>0.19230769230769232</v>
      </c>
      <c r="H253">
        <f t="shared" ca="1" si="49"/>
        <v>2</v>
      </c>
      <c r="I253">
        <f t="shared" ca="1" si="50"/>
        <v>1</v>
      </c>
      <c r="J253">
        <f t="shared" ca="1" si="51"/>
        <v>1</v>
      </c>
      <c r="K253">
        <f t="shared" ca="1" si="52"/>
        <v>0</v>
      </c>
      <c r="L253">
        <f t="shared" ca="1" si="53"/>
        <v>0</v>
      </c>
      <c r="M253">
        <f t="shared" ca="1" si="54"/>
        <v>1</v>
      </c>
      <c r="N253" t="str">
        <f t="shared" ca="1" si="55"/>
        <v>Low</v>
      </c>
    </row>
    <row r="254" spans="1:14" x14ac:dyDescent="0.25">
      <c r="A254">
        <f t="shared" si="42"/>
        <v>253</v>
      </c>
      <c r="B254">
        <f t="shared" si="43"/>
        <v>1254</v>
      </c>
      <c r="C254" t="str">
        <f t="shared" ca="1" si="44"/>
        <v>V3</v>
      </c>
      <c r="D254">
        <f t="shared" ca="1" si="45"/>
        <v>60</v>
      </c>
      <c r="E254">
        <f t="shared" ca="1" si="46"/>
        <v>28</v>
      </c>
      <c r="F254">
        <f t="shared" ca="1" si="47"/>
        <v>5</v>
      </c>
      <c r="G254">
        <f t="shared" ca="1" si="48"/>
        <v>0.17857142857142858</v>
      </c>
      <c r="H254">
        <f t="shared" ca="1" si="49"/>
        <v>3</v>
      </c>
      <c r="I254">
        <f t="shared" ca="1" si="50"/>
        <v>2</v>
      </c>
      <c r="J254">
        <f t="shared" ca="1" si="51"/>
        <v>0</v>
      </c>
      <c r="K254">
        <f t="shared" ca="1" si="52"/>
        <v>0</v>
      </c>
      <c r="L254">
        <f t="shared" ca="1" si="53"/>
        <v>0</v>
      </c>
      <c r="M254">
        <f t="shared" ca="1" si="54"/>
        <v>1</v>
      </c>
      <c r="N254" t="str">
        <f t="shared" ca="1" si="55"/>
        <v>Low</v>
      </c>
    </row>
    <row r="255" spans="1:14" x14ac:dyDescent="0.25">
      <c r="A255">
        <f t="shared" si="42"/>
        <v>254</v>
      </c>
      <c r="B255">
        <f t="shared" si="43"/>
        <v>1255</v>
      </c>
      <c r="C255" t="str">
        <f t="shared" ca="1" si="44"/>
        <v>V3</v>
      </c>
      <c r="D255">
        <f t="shared" ca="1" si="45"/>
        <v>45</v>
      </c>
      <c r="E255">
        <f t="shared" ca="1" si="46"/>
        <v>23</v>
      </c>
      <c r="F255">
        <f t="shared" ca="1" si="47"/>
        <v>8</v>
      </c>
      <c r="G255">
        <f t="shared" ca="1" si="48"/>
        <v>0.34782608695652173</v>
      </c>
      <c r="H255">
        <f t="shared" ca="1" si="49"/>
        <v>5</v>
      </c>
      <c r="I255">
        <f t="shared" ca="1" si="50"/>
        <v>3</v>
      </c>
      <c r="J255">
        <f t="shared" ca="1" si="51"/>
        <v>1</v>
      </c>
      <c r="K255">
        <f t="shared" ca="1" si="52"/>
        <v>0</v>
      </c>
      <c r="L255">
        <f t="shared" ca="1" si="53"/>
        <v>0</v>
      </c>
      <c r="M255">
        <f t="shared" ca="1" si="54"/>
        <v>0</v>
      </c>
      <c r="N255" t="str">
        <f t="shared" ca="1" si="55"/>
        <v>Medium</v>
      </c>
    </row>
    <row r="256" spans="1:14" x14ac:dyDescent="0.25">
      <c r="A256">
        <f t="shared" si="42"/>
        <v>255</v>
      </c>
      <c r="B256">
        <f t="shared" si="43"/>
        <v>1256</v>
      </c>
      <c r="C256" t="str">
        <f t="shared" ca="1" si="44"/>
        <v>V1</v>
      </c>
      <c r="D256">
        <f t="shared" ca="1" si="45"/>
        <v>30</v>
      </c>
      <c r="E256">
        <f t="shared" ca="1" si="46"/>
        <v>14</v>
      </c>
      <c r="F256">
        <f t="shared" ca="1" si="47"/>
        <v>2</v>
      </c>
      <c r="G256">
        <f t="shared" ca="1" si="48"/>
        <v>0.14285714285714285</v>
      </c>
      <c r="H256">
        <f t="shared" ca="1" si="49"/>
        <v>5</v>
      </c>
      <c r="I256">
        <f t="shared" ca="1" si="50"/>
        <v>3</v>
      </c>
      <c r="J256">
        <f t="shared" ca="1" si="51"/>
        <v>1</v>
      </c>
      <c r="K256">
        <f t="shared" ca="1" si="52"/>
        <v>0</v>
      </c>
      <c r="L256">
        <f t="shared" ca="1" si="53"/>
        <v>0</v>
      </c>
      <c r="M256">
        <f t="shared" ca="1" si="54"/>
        <v>0</v>
      </c>
      <c r="N256" t="str">
        <f t="shared" ca="1" si="55"/>
        <v>Low</v>
      </c>
    </row>
    <row r="257" spans="1:14" x14ac:dyDescent="0.25">
      <c r="A257">
        <f t="shared" si="42"/>
        <v>256</v>
      </c>
      <c r="B257">
        <f t="shared" si="43"/>
        <v>1257</v>
      </c>
      <c r="C257" t="str">
        <f t="shared" ca="1" si="44"/>
        <v>V2</v>
      </c>
      <c r="D257">
        <f t="shared" ca="1" si="45"/>
        <v>60</v>
      </c>
      <c r="E257">
        <f t="shared" ca="1" si="46"/>
        <v>49</v>
      </c>
      <c r="F257">
        <f t="shared" ca="1" si="47"/>
        <v>4</v>
      </c>
      <c r="G257">
        <f t="shared" ca="1" si="48"/>
        <v>8.1632653061224483E-2</v>
      </c>
      <c r="H257">
        <f t="shared" ca="1" si="49"/>
        <v>2</v>
      </c>
      <c r="I257">
        <f t="shared" ca="1" si="50"/>
        <v>0</v>
      </c>
      <c r="J257">
        <f t="shared" ca="1" si="51"/>
        <v>0</v>
      </c>
      <c r="K257">
        <f t="shared" ca="1" si="52"/>
        <v>0</v>
      </c>
      <c r="L257">
        <f t="shared" ca="1" si="53"/>
        <v>0</v>
      </c>
      <c r="M257">
        <f t="shared" ca="1" si="54"/>
        <v>1</v>
      </c>
      <c r="N257" t="str">
        <f t="shared" ca="1" si="55"/>
        <v>Low</v>
      </c>
    </row>
    <row r="258" spans="1:14" x14ac:dyDescent="0.25">
      <c r="A258">
        <f t="shared" si="42"/>
        <v>257</v>
      </c>
      <c r="B258">
        <f t="shared" si="43"/>
        <v>1258</v>
      </c>
      <c r="C258" t="str">
        <f t="shared" ca="1" si="44"/>
        <v>V3</v>
      </c>
      <c r="D258">
        <f t="shared" ca="1" si="45"/>
        <v>45</v>
      </c>
      <c r="E258">
        <f t="shared" ca="1" si="46"/>
        <v>41</v>
      </c>
      <c r="F258">
        <f t="shared" ca="1" si="47"/>
        <v>1</v>
      </c>
      <c r="G258">
        <f t="shared" ca="1" si="48"/>
        <v>2.4390243902439025E-2</v>
      </c>
      <c r="H258">
        <f t="shared" ca="1" si="49"/>
        <v>6</v>
      </c>
      <c r="I258">
        <f t="shared" ca="1" si="50"/>
        <v>4</v>
      </c>
      <c r="J258">
        <f t="shared" ca="1" si="51"/>
        <v>1</v>
      </c>
      <c r="K258">
        <f t="shared" ca="1" si="52"/>
        <v>1</v>
      </c>
      <c r="L258">
        <f t="shared" ca="1" si="53"/>
        <v>0</v>
      </c>
      <c r="M258">
        <f t="shared" ca="1" si="54"/>
        <v>0</v>
      </c>
      <c r="N258" t="str">
        <f t="shared" ca="1" si="55"/>
        <v>Low</v>
      </c>
    </row>
    <row r="259" spans="1:14" x14ac:dyDescent="0.25">
      <c r="A259">
        <f t="shared" ref="A259:A300" si="56">ROW()-1</f>
        <v>258</v>
      </c>
      <c r="B259">
        <f t="shared" ref="B259:B300" si="57">1000 + ROW()</f>
        <v>1259</v>
      </c>
      <c r="C259" t="str">
        <f t="shared" ref="C259:C300" ca="1" si="58">CHOOSE(RANDBETWEEN(1,3),"V1","V2","V3")</f>
        <v>V1</v>
      </c>
      <c r="D259">
        <f t="shared" ref="D259:D300" ca="1" si="59">CHOOSE(RANDBETWEEN(1,3),30,45,60)</f>
        <v>45</v>
      </c>
      <c r="E259">
        <f t="shared" ref="E259:E300" ca="1" si="60">RANDBETWEEN(D259*0.4,D259)</f>
        <v>33</v>
      </c>
      <c r="F259">
        <f t="shared" ref="F259:F300" ca="1" si="61">RANDBETWEEN(1,8)</f>
        <v>2</v>
      </c>
      <c r="G259">
        <f t="shared" ref="G259:G300" ca="1" si="62">F259/E259</f>
        <v>6.0606060606060608E-2</v>
      </c>
      <c r="H259">
        <f t="shared" ref="H259:H300" ca="1" si="63">RANDBETWEEN(0,6)</f>
        <v>6</v>
      </c>
      <c r="I259">
        <f t="shared" ref="I259:I300" ca="1" si="64">RANDBETWEEN(0,4)</f>
        <v>2</v>
      </c>
      <c r="J259">
        <f t="shared" ref="J259:J300" ca="1" si="65">IF(I259&gt;0,RANDBETWEEN(0,1),0)</f>
        <v>0</v>
      </c>
      <c r="K259">
        <f t="shared" ref="K259:K300" ca="1" si="66">IF(E259/D259&gt;0.9,1,0)</f>
        <v>0</v>
      </c>
      <c r="L259">
        <f t="shared" ref="L259:L300" ca="1" si="67">IF(G259&gt;0.6,1,IF(G259&gt;0.3,RANDBETWEEN(0,1),0))</f>
        <v>0</v>
      </c>
      <c r="M259">
        <f t="shared" ref="M259:M300" ca="1" si="68">IF(H259&gt;=5, IF(RAND()&lt;0.1,1,0),
   IF(H259&gt;=3, IF(RAND()&lt;0.4,1,0),
      IF(H259&gt;=1, IF(RAND()&lt;0.7,1,0),
         1)))</f>
        <v>1</v>
      </c>
      <c r="N259" t="str">
        <f t="shared" ref="N259:N300" ca="1" si="69">IF(G259&lt;0.2,"Low",IF(G259&lt;=0.5,"Medium","High"))</f>
        <v>Low</v>
      </c>
    </row>
    <row r="260" spans="1:14" x14ac:dyDescent="0.25">
      <c r="A260">
        <f t="shared" si="56"/>
        <v>259</v>
      </c>
      <c r="B260">
        <f t="shared" si="57"/>
        <v>1260</v>
      </c>
      <c r="C260" t="str">
        <f t="shared" ca="1" si="58"/>
        <v>V3</v>
      </c>
      <c r="D260">
        <f t="shared" ca="1" si="59"/>
        <v>60</v>
      </c>
      <c r="E260">
        <f t="shared" ca="1" si="60"/>
        <v>54</v>
      </c>
      <c r="F260">
        <f t="shared" ca="1" si="61"/>
        <v>6</v>
      </c>
      <c r="G260">
        <f t="shared" ca="1" si="62"/>
        <v>0.1111111111111111</v>
      </c>
      <c r="H260">
        <f t="shared" ca="1" si="63"/>
        <v>2</v>
      </c>
      <c r="I260">
        <f t="shared" ca="1" si="64"/>
        <v>2</v>
      </c>
      <c r="J260">
        <f t="shared" ca="1" si="65"/>
        <v>1</v>
      </c>
      <c r="K260">
        <f t="shared" ca="1" si="66"/>
        <v>0</v>
      </c>
      <c r="L260">
        <f t="shared" ca="1" si="67"/>
        <v>0</v>
      </c>
      <c r="M260">
        <f t="shared" ca="1" si="68"/>
        <v>1</v>
      </c>
      <c r="N260" t="str">
        <f t="shared" ca="1" si="69"/>
        <v>Low</v>
      </c>
    </row>
    <row r="261" spans="1:14" x14ac:dyDescent="0.25">
      <c r="A261">
        <f t="shared" si="56"/>
        <v>260</v>
      </c>
      <c r="B261">
        <f t="shared" si="57"/>
        <v>1261</v>
      </c>
      <c r="C261" t="str">
        <f t="shared" ca="1" si="58"/>
        <v>V2</v>
      </c>
      <c r="D261">
        <f t="shared" ca="1" si="59"/>
        <v>30</v>
      </c>
      <c r="E261">
        <f t="shared" ca="1" si="60"/>
        <v>30</v>
      </c>
      <c r="F261">
        <f t="shared" ca="1" si="61"/>
        <v>5</v>
      </c>
      <c r="G261">
        <f t="shared" ca="1" si="62"/>
        <v>0.16666666666666666</v>
      </c>
      <c r="H261">
        <f t="shared" ca="1" si="63"/>
        <v>5</v>
      </c>
      <c r="I261">
        <f t="shared" ca="1" si="64"/>
        <v>4</v>
      </c>
      <c r="J261">
        <f t="shared" ca="1" si="65"/>
        <v>0</v>
      </c>
      <c r="K261">
        <f t="shared" ca="1" si="66"/>
        <v>1</v>
      </c>
      <c r="L261">
        <f t="shared" ca="1" si="67"/>
        <v>0</v>
      </c>
      <c r="M261">
        <f t="shared" ca="1" si="68"/>
        <v>0</v>
      </c>
      <c r="N261" t="str">
        <f t="shared" ca="1" si="69"/>
        <v>Low</v>
      </c>
    </row>
    <row r="262" spans="1:14" x14ac:dyDescent="0.25">
      <c r="A262">
        <f t="shared" si="56"/>
        <v>261</v>
      </c>
      <c r="B262">
        <f t="shared" si="57"/>
        <v>1262</v>
      </c>
      <c r="C262" t="str">
        <f t="shared" ca="1" si="58"/>
        <v>V1</v>
      </c>
      <c r="D262">
        <f t="shared" ca="1" si="59"/>
        <v>60</v>
      </c>
      <c r="E262">
        <f t="shared" ca="1" si="60"/>
        <v>55</v>
      </c>
      <c r="F262">
        <f t="shared" ca="1" si="61"/>
        <v>3</v>
      </c>
      <c r="G262">
        <f t="shared" ca="1" si="62"/>
        <v>5.4545454545454543E-2</v>
      </c>
      <c r="H262">
        <f t="shared" ca="1" si="63"/>
        <v>0</v>
      </c>
      <c r="I262">
        <f t="shared" ca="1" si="64"/>
        <v>2</v>
      </c>
      <c r="J262">
        <f t="shared" ca="1" si="65"/>
        <v>0</v>
      </c>
      <c r="K262">
        <f t="shared" ca="1" si="66"/>
        <v>1</v>
      </c>
      <c r="L262">
        <f t="shared" ca="1" si="67"/>
        <v>0</v>
      </c>
      <c r="M262">
        <f t="shared" ca="1" si="68"/>
        <v>1</v>
      </c>
      <c r="N262" t="str">
        <f t="shared" ca="1" si="69"/>
        <v>Low</v>
      </c>
    </row>
    <row r="263" spans="1:14" x14ac:dyDescent="0.25">
      <c r="A263">
        <f t="shared" si="56"/>
        <v>262</v>
      </c>
      <c r="B263">
        <f t="shared" si="57"/>
        <v>1263</v>
      </c>
      <c r="C263" t="str">
        <f t="shared" ca="1" si="58"/>
        <v>V3</v>
      </c>
      <c r="D263">
        <f t="shared" ca="1" si="59"/>
        <v>30</v>
      </c>
      <c r="E263">
        <f t="shared" ca="1" si="60"/>
        <v>27</v>
      </c>
      <c r="F263">
        <f t="shared" ca="1" si="61"/>
        <v>1</v>
      </c>
      <c r="G263">
        <f t="shared" ca="1" si="62"/>
        <v>3.7037037037037035E-2</v>
      </c>
      <c r="H263">
        <f t="shared" ca="1" si="63"/>
        <v>3</v>
      </c>
      <c r="I263">
        <f t="shared" ca="1" si="64"/>
        <v>2</v>
      </c>
      <c r="J263">
        <f t="shared" ca="1" si="65"/>
        <v>0</v>
      </c>
      <c r="K263">
        <f t="shared" ca="1" si="66"/>
        <v>0</v>
      </c>
      <c r="L263">
        <f t="shared" ca="1" si="67"/>
        <v>0</v>
      </c>
      <c r="M263">
        <f t="shared" ca="1" si="68"/>
        <v>0</v>
      </c>
      <c r="N263" t="str">
        <f t="shared" ca="1" si="69"/>
        <v>Low</v>
      </c>
    </row>
    <row r="264" spans="1:14" x14ac:dyDescent="0.25">
      <c r="A264">
        <f t="shared" si="56"/>
        <v>263</v>
      </c>
      <c r="B264">
        <f t="shared" si="57"/>
        <v>1264</v>
      </c>
      <c r="C264" t="str">
        <f t="shared" ca="1" si="58"/>
        <v>V3</v>
      </c>
      <c r="D264">
        <f t="shared" ca="1" si="59"/>
        <v>60</v>
      </c>
      <c r="E264">
        <f t="shared" ca="1" si="60"/>
        <v>29</v>
      </c>
      <c r="F264">
        <f t="shared" ca="1" si="61"/>
        <v>6</v>
      </c>
      <c r="G264">
        <f t="shared" ca="1" si="62"/>
        <v>0.20689655172413793</v>
      </c>
      <c r="H264">
        <f t="shared" ca="1" si="63"/>
        <v>3</v>
      </c>
      <c r="I264">
        <f t="shared" ca="1" si="64"/>
        <v>2</v>
      </c>
      <c r="J264">
        <f t="shared" ca="1" si="65"/>
        <v>1</v>
      </c>
      <c r="K264">
        <f t="shared" ca="1" si="66"/>
        <v>0</v>
      </c>
      <c r="L264">
        <f t="shared" ca="1" si="67"/>
        <v>0</v>
      </c>
      <c r="M264">
        <f t="shared" ca="1" si="68"/>
        <v>1</v>
      </c>
      <c r="N264" t="str">
        <f t="shared" ca="1" si="69"/>
        <v>Medium</v>
      </c>
    </row>
    <row r="265" spans="1:14" x14ac:dyDescent="0.25">
      <c r="A265">
        <f t="shared" si="56"/>
        <v>264</v>
      </c>
      <c r="B265">
        <f t="shared" si="57"/>
        <v>1265</v>
      </c>
      <c r="C265" t="str">
        <f t="shared" ca="1" si="58"/>
        <v>V1</v>
      </c>
      <c r="D265">
        <f t="shared" ca="1" si="59"/>
        <v>30</v>
      </c>
      <c r="E265">
        <f t="shared" ca="1" si="60"/>
        <v>20</v>
      </c>
      <c r="F265">
        <f t="shared" ca="1" si="61"/>
        <v>5</v>
      </c>
      <c r="G265">
        <f t="shared" ca="1" si="62"/>
        <v>0.25</v>
      </c>
      <c r="H265">
        <f t="shared" ca="1" si="63"/>
        <v>3</v>
      </c>
      <c r="I265">
        <f t="shared" ca="1" si="64"/>
        <v>3</v>
      </c>
      <c r="J265">
        <f t="shared" ca="1" si="65"/>
        <v>0</v>
      </c>
      <c r="K265">
        <f t="shared" ca="1" si="66"/>
        <v>0</v>
      </c>
      <c r="L265">
        <f t="shared" ca="1" si="67"/>
        <v>0</v>
      </c>
      <c r="M265">
        <f t="shared" ca="1" si="68"/>
        <v>0</v>
      </c>
      <c r="N265" t="str">
        <f t="shared" ca="1" si="69"/>
        <v>Medium</v>
      </c>
    </row>
    <row r="266" spans="1:14" x14ac:dyDescent="0.25">
      <c r="A266">
        <f t="shared" si="56"/>
        <v>265</v>
      </c>
      <c r="B266">
        <f t="shared" si="57"/>
        <v>1266</v>
      </c>
      <c r="C266" t="str">
        <f t="shared" ca="1" si="58"/>
        <v>V1</v>
      </c>
      <c r="D266">
        <f t="shared" ca="1" si="59"/>
        <v>30</v>
      </c>
      <c r="E266">
        <f t="shared" ca="1" si="60"/>
        <v>28</v>
      </c>
      <c r="F266">
        <f t="shared" ca="1" si="61"/>
        <v>2</v>
      </c>
      <c r="G266">
        <f t="shared" ca="1" si="62"/>
        <v>7.1428571428571425E-2</v>
      </c>
      <c r="H266">
        <f t="shared" ca="1" si="63"/>
        <v>5</v>
      </c>
      <c r="I266">
        <f t="shared" ca="1" si="64"/>
        <v>2</v>
      </c>
      <c r="J266">
        <f t="shared" ca="1" si="65"/>
        <v>1</v>
      </c>
      <c r="K266">
        <f t="shared" ca="1" si="66"/>
        <v>1</v>
      </c>
      <c r="L266">
        <f t="shared" ca="1" si="67"/>
        <v>0</v>
      </c>
      <c r="M266">
        <f t="shared" ca="1" si="68"/>
        <v>0</v>
      </c>
      <c r="N266" t="str">
        <f t="shared" ca="1" si="69"/>
        <v>Low</v>
      </c>
    </row>
    <row r="267" spans="1:14" x14ac:dyDescent="0.25">
      <c r="A267">
        <f t="shared" si="56"/>
        <v>266</v>
      </c>
      <c r="B267">
        <f t="shared" si="57"/>
        <v>1267</v>
      </c>
      <c r="C267" t="str">
        <f t="shared" ca="1" si="58"/>
        <v>V1</v>
      </c>
      <c r="D267">
        <f t="shared" ca="1" si="59"/>
        <v>60</v>
      </c>
      <c r="E267">
        <f t="shared" ca="1" si="60"/>
        <v>57</v>
      </c>
      <c r="F267">
        <f t="shared" ca="1" si="61"/>
        <v>8</v>
      </c>
      <c r="G267">
        <f t="shared" ca="1" si="62"/>
        <v>0.14035087719298245</v>
      </c>
      <c r="H267">
        <f t="shared" ca="1" si="63"/>
        <v>0</v>
      </c>
      <c r="I267">
        <f t="shared" ca="1" si="64"/>
        <v>3</v>
      </c>
      <c r="J267">
        <f t="shared" ca="1" si="65"/>
        <v>0</v>
      </c>
      <c r="K267">
        <f t="shared" ca="1" si="66"/>
        <v>1</v>
      </c>
      <c r="L267">
        <f t="shared" ca="1" si="67"/>
        <v>0</v>
      </c>
      <c r="M267">
        <f t="shared" ca="1" si="68"/>
        <v>1</v>
      </c>
      <c r="N267" t="str">
        <f t="shared" ca="1" si="69"/>
        <v>Low</v>
      </c>
    </row>
    <row r="268" spans="1:14" x14ac:dyDescent="0.25">
      <c r="A268">
        <f t="shared" si="56"/>
        <v>267</v>
      </c>
      <c r="B268">
        <f t="shared" si="57"/>
        <v>1268</v>
      </c>
      <c r="C268" t="str">
        <f t="shared" ca="1" si="58"/>
        <v>V2</v>
      </c>
      <c r="D268">
        <f t="shared" ca="1" si="59"/>
        <v>30</v>
      </c>
      <c r="E268">
        <f t="shared" ca="1" si="60"/>
        <v>26</v>
      </c>
      <c r="F268">
        <f t="shared" ca="1" si="61"/>
        <v>3</v>
      </c>
      <c r="G268">
        <f t="shared" ca="1" si="62"/>
        <v>0.11538461538461539</v>
      </c>
      <c r="H268">
        <f t="shared" ca="1" si="63"/>
        <v>5</v>
      </c>
      <c r="I268">
        <f t="shared" ca="1" si="64"/>
        <v>2</v>
      </c>
      <c r="J268">
        <f t="shared" ca="1" si="65"/>
        <v>1</v>
      </c>
      <c r="K268">
        <f t="shared" ca="1" si="66"/>
        <v>0</v>
      </c>
      <c r="L268">
        <f t="shared" ca="1" si="67"/>
        <v>0</v>
      </c>
      <c r="M268">
        <f t="shared" ca="1" si="68"/>
        <v>0</v>
      </c>
      <c r="N268" t="str">
        <f t="shared" ca="1" si="69"/>
        <v>Low</v>
      </c>
    </row>
    <row r="269" spans="1:14" x14ac:dyDescent="0.25">
      <c r="A269">
        <f t="shared" si="56"/>
        <v>268</v>
      </c>
      <c r="B269">
        <f t="shared" si="57"/>
        <v>1269</v>
      </c>
      <c r="C269" t="str">
        <f t="shared" ca="1" si="58"/>
        <v>V1</v>
      </c>
      <c r="D269">
        <f t="shared" ca="1" si="59"/>
        <v>45</v>
      </c>
      <c r="E269">
        <f t="shared" ca="1" si="60"/>
        <v>28</v>
      </c>
      <c r="F269">
        <f t="shared" ca="1" si="61"/>
        <v>7</v>
      </c>
      <c r="G269">
        <f t="shared" ca="1" si="62"/>
        <v>0.25</v>
      </c>
      <c r="H269">
        <f t="shared" ca="1" si="63"/>
        <v>5</v>
      </c>
      <c r="I269">
        <f t="shared" ca="1" si="64"/>
        <v>4</v>
      </c>
      <c r="J269">
        <f t="shared" ca="1" si="65"/>
        <v>0</v>
      </c>
      <c r="K269">
        <f t="shared" ca="1" si="66"/>
        <v>0</v>
      </c>
      <c r="L269">
        <f t="shared" ca="1" si="67"/>
        <v>0</v>
      </c>
      <c r="M269">
        <f t="shared" ca="1" si="68"/>
        <v>0</v>
      </c>
      <c r="N269" t="str">
        <f t="shared" ca="1" si="69"/>
        <v>Medium</v>
      </c>
    </row>
    <row r="270" spans="1:14" x14ac:dyDescent="0.25">
      <c r="A270">
        <f t="shared" si="56"/>
        <v>269</v>
      </c>
      <c r="B270">
        <f t="shared" si="57"/>
        <v>1270</v>
      </c>
      <c r="C270" t="str">
        <f t="shared" ca="1" si="58"/>
        <v>V2</v>
      </c>
      <c r="D270">
        <f t="shared" ca="1" si="59"/>
        <v>60</v>
      </c>
      <c r="E270">
        <f t="shared" ca="1" si="60"/>
        <v>32</v>
      </c>
      <c r="F270">
        <f t="shared" ca="1" si="61"/>
        <v>1</v>
      </c>
      <c r="G270">
        <f t="shared" ca="1" si="62"/>
        <v>3.125E-2</v>
      </c>
      <c r="H270">
        <f t="shared" ca="1" si="63"/>
        <v>3</v>
      </c>
      <c r="I270">
        <f t="shared" ca="1" si="64"/>
        <v>1</v>
      </c>
      <c r="J270">
        <f t="shared" ca="1" si="65"/>
        <v>1</v>
      </c>
      <c r="K270">
        <f t="shared" ca="1" si="66"/>
        <v>0</v>
      </c>
      <c r="L270">
        <f t="shared" ca="1" si="67"/>
        <v>0</v>
      </c>
      <c r="M270">
        <f t="shared" ca="1" si="68"/>
        <v>0</v>
      </c>
      <c r="N270" t="str">
        <f t="shared" ca="1" si="69"/>
        <v>Low</v>
      </c>
    </row>
    <row r="271" spans="1:14" x14ac:dyDescent="0.25">
      <c r="A271">
        <f t="shared" si="56"/>
        <v>270</v>
      </c>
      <c r="B271">
        <f t="shared" si="57"/>
        <v>1271</v>
      </c>
      <c r="C271" t="str">
        <f t="shared" ca="1" si="58"/>
        <v>V3</v>
      </c>
      <c r="D271">
        <f t="shared" ca="1" si="59"/>
        <v>60</v>
      </c>
      <c r="E271">
        <f t="shared" ca="1" si="60"/>
        <v>49</v>
      </c>
      <c r="F271">
        <f t="shared" ca="1" si="61"/>
        <v>4</v>
      </c>
      <c r="G271">
        <f t="shared" ca="1" si="62"/>
        <v>8.1632653061224483E-2</v>
      </c>
      <c r="H271">
        <f t="shared" ca="1" si="63"/>
        <v>1</v>
      </c>
      <c r="I271">
        <f t="shared" ca="1" si="64"/>
        <v>0</v>
      </c>
      <c r="J271">
        <f t="shared" ca="1" si="65"/>
        <v>0</v>
      </c>
      <c r="K271">
        <f t="shared" ca="1" si="66"/>
        <v>0</v>
      </c>
      <c r="L271">
        <f t="shared" ca="1" si="67"/>
        <v>0</v>
      </c>
      <c r="M271">
        <f t="shared" ca="1" si="68"/>
        <v>1</v>
      </c>
      <c r="N271" t="str">
        <f t="shared" ca="1" si="69"/>
        <v>Low</v>
      </c>
    </row>
    <row r="272" spans="1:14" x14ac:dyDescent="0.25">
      <c r="A272">
        <f t="shared" si="56"/>
        <v>271</v>
      </c>
      <c r="B272">
        <f t="shared" si="57"/>
        <v>1272</v>
      </c>
      <c r="C272" t="str">
        <f t="shared" ca="1" si="58"/>
        <v>V1</v>
      </c>
      <c r="D272">
        <f t="shared" ca="1" si="59"/>
        <v>45</v>
      </c>
      <c r="E272">
        <f t="shared" ca="1" si="60"/>
        <v>43</v>
      </c>
      <c r="F272">
        <f t="shared" ca="1" si="61"/>
        <v>8</v>
      </c>
      <c r="G272">
        <f t="shared" ca="1" si="62"/>
        <v>0.18604651162790697</v>
      </c>
      <c r="H272">
        <f t="shared" ca="1" si="63"/>
        <v>0</v>
      </c>
      <c r="I272">
        <f t="shared" ca="1" si="64"/>
        <v>4</v>
      </c>
      <c r="J272">
        <f t="shared" ca="1" si="65"/>
        <v>1</v>
      </c>
      <c r="K272">
        <f t="shared" ca="1" si="66"/>
        <v>1</v>
      </c>
      <c r="L272">
        <f t="shared" ca="1" si="67"/>
        <v>0</v>
      </c>
      <c r="M272">
        <f t="shared" ca="1" si="68"/>
        <v>1</v>
      </c>
      <c r="N272" t="str">
        <f t="shared" ca="1" si="69"/>
        <v>Low</v>
      </c>
    </row>
    <row r="273" spans="1:14" x14ac:dyDescent="0.25">
      <c r="A273">
        <f t="shared" si="56"/>
        <v>272</v>
      </c>
      <c r="B273">
        <f t="shared" si="57"/>
        <v>1273</v>
      </c>
      <c r="C273" t="str">
        <f t="shared" ca="1" si="58"/>
        <v>V1</v>
      </c>
      <c r="D273">
        <f t="shared" ca="1" si="59"/>
        <v>60</v>
      </c>
      <c r="E273">
        <f t="shared" ca="1" si="60"/>
        <v>32</v>
      </c>
      <c r="F273">
        <f t="shared" ca="1" si="61"/>
        <v>7</v>
      </c>
      <c r="G273">
        <f t="shared" ca="1" si="62"/>
        <v>0.21875</v>
      </c>
      <c r="H273">
        <f t="shared" ca="1" si="63"/>
        <v>6</v>
      </c>
      <c r="I273">
        <f t="shared" ca="1" si="64"/>
        <v>3</v>
      </c>
      <c r="J273">
        <f t="shared" ca="1" si="65"/>
        <v>0</v>
      </c>
      <c r="K273">
        <f t="shared" ca="1" si="66"/>
        <v>0</v>
      </c>
      <c r="L273">
        <f t="shared" ca="1" si="67"/>
        <v>0</v>
      </c>
      <c r="M273">
        <f t="shared" ca="1" si="68"/>
        <v>1</v>
      </c>
      <c r="N273" t="str">
        <f t="shared" ca="1" si="69"/>
        <v>Medium</v>
      </c>
    </row>
    <row r="274" spans="1:14" x14ac:dyDescent="0.25">
      <c r="A274">
        <f t="shared" si="56"/>
        <v>273</v>
      </c>
      <c r="B274">
        <f t="shared" si="57"/>
        <v>1274</v>
      </c>
      <c r="C274" t="str">
        <f t="shared" ca="1" si="58"/>
        <v>V3</v>
      </c>
      <c r="D274">
        <f t="shared" ca="1" si="59"/>
        <v>30</v>
      </c>
      <c r="E274">
        <f t="shared" ca="1" si="60"/>
        <v>28</v>
      </c>
      <c r="F274">
        <f t="shared" ca="1" si="61"/>
        <v>5</v>
      </c>
      <c r="G274">
        <f t="shared" ca="1" si="62"/>
        <v>0.17857142857142858</v>
      </c>
      <c r="H274">
        <f t="shared" ca="1" si="63"/>
        <v>3</v>
      </c>
      <c r="I274">
        <f t="shared" ca="1" si="64"/>
        <v>3</v>
      </c>
      <c r="J274">
        <f t="shared" ca="1" si="65"/>
        <v>1</v>
      </c>
      <c r="K274">
        <f t="shared" ca="1" si="66"/>
        <v>1</v>
      </c>
      <c r="L274">
        <f t="shared" ca="1" si="67"/>
        <v>0</v>
      </c>
      <c r="M274">
        <f t="shared" ca="1" si="68"/>
        <v>0</v>
      </c>
      <c r="N274" t="str">
        <f t="shared" ca="1" si="69"/>
        <v>Low</v>
      </c>
    </row>
    <row r="275" spans="1:14" x14ac:dyDescent="0.25">
      <c r="A275">
        <f t="shared" si="56"/>
        <v>274</v>
      </c>
      <c r="B275">
        <f t="shared" si="57"/>
        <v>1275</v>
      </c>
      <c r="C275" t="str">
        <f t="shared" ca="1" si="58"/>
        <v>V3</v>
      </c>
      <c r="D275">
        <f t="shared" ca="1" si="59"/>
        <v>45</v>
      </c>
      <c r="E275">
        <f t="shared" ca="1" si="60"/>
        <v>23</v>
      </c>
      <c r="F275">
        <f t="shared" ca="1" si="61"/>
        <v>2</v>
      </c>
      <c r="G275">
        <f t="shared" ca="1" si="62"/>
        <v>8.6956521739130432E-2</v>
      </c>
      <c r="H275">
        <f t="shared" ca="1" si="63"/>
        <v>5</v>
      </c>
      <c r="I275">
        <f t="shared" ca="1" si="64"/>
        <v>0</v>
      </c>
      <c r="J275">
        <f t="shared" ca="1" si="65"/>
        <v>0</v>
      </c>
      <c r="K275">
        <f t="shared" ca="1" si="66"/>
        <v>0</v>
      </c>
      <c r="L275">
        <f t="shared" ca="1" si="67"/>
        <v>0</v>
      </c>
      <c r="M275">
        <f t="shared" ca="1" si="68"/>
        <v>0</v>
      </c>
      <c r="N275" t="str">
        <f t="shared" ca="1" si="69"/>
        <v>Low</v>
      </c>
    </row>
    <row r="276" spans="1:14" x14ac:dyDescent="0.25">
      <c r="A276">
        <f t="shared" si="56"/>
        <v>275</v>
      </c>
      <c r="B276">
        <f t="shared" si="57"/>
        <v>1276</v>
      </c>
      <c r="C276" t="str">
        <f t="shared" ca="1" si="58"/>
        <v>V3</v>
      </c>
      <c r="D276">
        <f t="shared" ca="1" si="59"/>
        <v>60</v>
      </c>
      <c r="E276">
        <f t="shared" ca="1" si="60"/>
        <v>48</v>
      </c>
      <c r="F276">
        <f t="shared" ca="1" si="61"/>
        <v>4</v>
      </c>
      <c r="G276">
        <f t="shared" ca="1" si="62"/>
        <v>8.3333333333333329E-2</v>
      </c>
      <c r="H276">
        <f t="shared" ca="1" si="63"/>
        <v>1</v>
      </c>
      <c r="I276">
        <f t="shared" ca="1" si="64"/>
        <v>1</v>
      </c>
      <c r="J276">
        <f t="shared" ca="1" si="65"/>
        <v>0</v>
      </c>
      <c r="K276">
        <f t="shared" ca="1" si="66"/>
        <v>0</v>
      </c>
      <c r="L276">
        <f t="shared" ca="1" si="67"/>
        <v>0</v>
      </c>
      <c r="M276">
        <f t="shared" ca="1" si="68"/>
        <v>1</v>
      </c>
      <c r="N276" t="str">
        <f t="shared" ca="1" si="69"/>
        <v>Low</v>
      </c>
    </row>
    <row r="277" spans="1:14" x14ac:dyDescent="0.25">
      <c r="A277">
        <f t="shared" si="56"/>
        <v>276</v>
      </c>
      <c r="B277">
        <f t="shared" si="57"/>
        <v>1277</v>
      </c>
      <c r="C277" t="str">
        <f t="shared" ca="1" si="58"/>
        <v>V3</v>
      </c>
      <c r="D277">
        <f t="shared" ca="1" si="59"/>
        <v>60</v>
      </c>
      <c r="E277">
        <f t="shared" ca="1" si="60"/>
        <v>59</v>
      </c>
      <c r="F277">
        <f t="shared" ca="1" si="61"/>
        <v>5</v>
      </c>
      <c r="G277">
        <f t="shared" ca="1" si="62"/>
        <v>8.4745762711864403E-2</v>
      </c>
      <c r="H277">
        <f t="shared" ca="1" si="63"/>
        <v>2</v>
      </c>
      <c r="I277">
        <f t="shared" ca="1" si="64"/>
        <v>3</v>
      </c>
      <c r="J277">
        <f t="shared" ca="1" si="65"/>
        <v>0</v>
      </c>
      <c r="K277">
        <f t="shared" ca="1" si="66"/>
        <v>1</v>
      </c>
      <c r="L277">
        <f t="shared" ca="1" si="67"/>
        <v>0</v>
      </c>
      <c r="M277">
        <f t="shared" ca="1" si="68"/>
        <v>1</v>
      </c>
      <c r="N277" t="str">
        <f t="shared" ca="1" si="69"/>
        <v>Low</v>
      </c>
    </row>
    <row r="278" spans="1:14" x14ac:dyDescent="0.25">
      <c r="A278">
        <f t="shared" si="56"/>
        <v>277</v>
      </c>
      <c r="B278">
        <f t="shared" si="57"/>
        <v>1278</v>
      </c>
      <c r="C278" t="str">
        <f t="shared" ca="1" si="58"/>
        <v>V1</v>
      </c>
      <c r="D278">
        <f t="shared" ca="1" si="59"/>
        <v>30</v>
      </c>
      <c r="E278">
        <f t="shared" ca="1" si="60"/>
        <v>24</v>
      </c>
      <c r="F278">
        <f t="shared" ca="1" si="61"/>
        <v>3</v>
      </c>
      <c r="G278">
        <f t="shared" ca="1" si="62"/>
        <v>0.125</v>
      </c>
      <c r="H278">
        <f t="shared" ca="1" si="63"/>
        <v>0</v>
      </c>
      <c r="I278">
        <f t="shared" ca="1" si="64"/>
        <v>3</v>
      </c>
      <c r="J278">
        <f t="shared" ca="1" si="65"/>
        <v>1</v>
      </c>
      <c r="K278">
        <f t="shared" ca="1" si="66"/>
        <v>0</v>
      </c>
      <c r="L278">
        <f t="shared" ca="1" si="67"/>
        <v>0</v>
      </c>
      <c r="M278">
        <f t="shared" ca="1" si="68"/>
        <v>1</v>
      </c>
      <c r="N278" t="str">
        <f t="shared" ca="1" si="69"/>
        <v>Low</v>
      </c>
    </row>
    <row r="279" spans="1:14" x14ac:dyDescent="0.25">
      <c r="A279">
        <f t="shared" si="56"/>
        <v>278</v>
      </c>
      <c r="B279">
        <f t="shared" si="57"/>
        <v>1279</v>
      </c>
      <c r="C279" t="str">
        <f t="shared" ca="1" si="58"/>
        <v>V2</v>
      </c>
      <c r="D279">
        <f t="shared" ca="1" si="59"/>
        <v>45</v>
      </c>
      <c r="E279">
        <f t="shared" ca="1" si="60"/>
        <v>43</v>
      </c>
      <c r="F279">
        <f t="shared" ca="1" si="61"/>
        <v>3</v>
      </c>
      <c r="G279">
        <f t="shared" ca="1" si="62"/>
        <v>6.9767441860465115E-2</v>
      </c>
      <c r="H279">
        <f t="shared" ca="1" si="63"/>
        <v>2</v>
      </c>
      <c r="I279">
        <f t="shared" ca="1" si="64"/>
        <v>0</v>
      </c>
      <c r="J279">
        <f t="shared" ca="1" si="65"/>
        <v>0</v>
      </c>
      <c r="K279">
        <f t="shared" ca="1" si="66"/>
        <v>1</v>
      </c>
      <c r="L279">
        <f t="shared" ca="1" si="67"/>
        <v>0</v>
      </c>
      <c r="M279">
        <f t="shared" ca="1" si="68"/>
        <v>0</v>
      </c>
      <c r="N279" t="str">
        <f t="shared" ca="1" si="69"/>
        <v>Low</v>
      </c>
    </row>
    <row r="280" spans="1:14" x14ac:dyDescent="0.25">
      <c r="A280">
        <f t="shared" si="56"/>
        <v>279</v>
      </c>
      <c r="B280">
        <f t="shared" si="57"/>
        <v>1280</v>
      </c>
      <c r="C280" t="str">
        <f t="shared" ca="1" si="58"/>
        <v>V3</v>
      </c>
      <c r="D280">
        <f t="shared" ca="1" si="59"/>
        <v>60</v>
      </c>
      <c r="E280">
        <f t="shared" ca="1" si="60"/>
        <v>31</v>
      </c>
      <c r="F280">
        <f t="shared" ca="1" si="61"/>
        <v>5</v>
      </c>
      <c r="G280">
        <f t="shared" ca="1" si="62"/>
        <v>0.16129032258064516</v>
      </c>
      <c r="H280">
        <f t="shared" ca="1" si="63"/>
        <v>6</v>
      </c>
      <c r="I280">
        <f t="shared" ca="1" si="64"/>
        <v>0</v>
      </c>
      <c r="J280">
        <f t="shared" ca="1" si="65"/>
        <v>0</v>
      </c>
      <c r="K280">
        <f t="shared" ca="1" si="66"/>
        <v>0</v>
      </c>
      <c r="L280">
        <f t="shared" ca="1" si="67"/>
        <v>0</v>
      </c>
      <c r="M280">
        <f t="shared" ca="1" si="68"/>
        <v>0</v>
      </c>
      <c r="N280" t="str">
        <f t="shared" ca="1" si="69"/>
        <v>Low</v>
      </c>
    </row>
    <row r="281" spans="1:14" x14ac:dyDescent="0.25">
      <c r="A281">
        <f t="shared" si="56"/>
        <v>280</v>
      </c>
      <c r="B281">
        <f t="shared" si="57"/>
        <v>1281</v>
      </c>
      <c r="C281" t="str">
        <f t="shared" ca="1" si="58"/>
        <v>V3</v>
      </c>
      <c r="D281">
        <f t="shared" ca="1" si="59"/>
        <v>45</v>
      </c>
      <c r="E281">
        <f t="shared" ca="1" si="60"/>
        <v>23</v>
      </c>
      <c r="F281">
        <f t="shared" ca="1" si="61"/>
        <v>7</v>
      </c>
      <c r="G281">
        <f t="shared" ca="1" si="62"/>
        <v>0.30434782608695654</v>
      </c>
      <c r="H281">
        <f t="shared" ca="1" si="63"/>
        <v>2</v>
      </c>
      <c r="I281">
        <f t="shared" ca="1" si="64"/>
        <v>1</v>
      </c>
      <c r="J281">
        <f t="shared" ca="1" si="65"/>
        <v>0</v>
      </c>
      <c r="K281">
        <f t="shared" ca="1" si="66"/>
        <v>0</v>
      </c>
      <c r="L281">
        <f t="shared" ca="1" si="67"/>
        <v>0</v>
      </c>
      <c r="M281">
        <f t="shared" ca="1" si="68"/>
        <v>1</v>
      </c>
      <c r="N281" t="str">
        <f t="shared" ca="1" si="69"/>
        <v>Medium</v>
      </c>
    </row>
    <row r="282" spans="1:14" x14ac:dyDescent="0.25">
      <c r="A282">
        <f t="shared" si="56"/>
        <v>281</v>
      </c>
      <c r="B282">
        <f t="shared" si="57"/>
        <v>1282</v>
      </c>
      <c r="C282" t="str">
        <f t="shared" ca="1" si="58"/>
        <v>V3</v>
      </c>
      <c r="D282">
        <f t="shared" ca="1" si="59"/>
        <v>30</v>
      </c>
      <c r="E282">
        <f t="shared" ca="1" si="60"/>
        <v>20</v>
      </c>
      <c r="F282">
        <f t="shared" ca="1" si="61"/>
        <v>6</v>
      </c>
      <c r="G282">
        <f t="shared" ca="1" si="62"/>
        <v>0.3</v>
      </c>
      <c r="H282">
        <f t="shared" ca="1" si="63"/>
        <v>6</v>
      </c>
      <c r="I282">
        <f t="shared" ca="1" si="64"/>
        <v>0</v>
      </c>
      <c r="J282">
        <f t="shared" ca="1" si="65"/>
        <v>0</v>
      </c>
      <c r="K282">
        <f t="shared" ca="1" si="66"/>
        <v>0</v>
      </c>
      <c r="L282">
        <f t="shared" ca="1" si="67"/>
        <v>0</v>
      </c>
      <c r="M282">
        <f t="shared" ca="1" si="68"/>
        <v>0</v>
      </c>
      <c r="N282" t="str">
        <f t="shared" ca="1" si="69"/>
        <v>Medium</v>
      </c>
    </row>
    <row r="283" spans="1:14" x14ac:dyDescent="0.25">
      <c r="A283">
        <f t="shared" si="56"/>
        <v>282</v>
      </c>
      <c r="B283">
        <f t="shared" si="57"/>
        <v>1283</v>
      </c>
      <c r="C283" t="str">
        <f t="shared" ca="1" si="58"/>
        <v>V3</v>
      </c>
      <c r="D283">
        <f t="shared" ca="1" si="59"/>
        <v>30</v>
      </c>
      <c r="E283">
        <f t="shared" ca="1" si="60"/>
        <v>19</v>
      </c>
      <c r="F283">
        <f t="shared" ca="1" si="61"/>
        <v>3</v>
      </c>
      <c r="G283">
        <f t="shared" ca="1" si="62"/>
        <v>0.15789473684210525</v>
      </c>
      <c r="H283">
        <f t="shared" ca="1" si="63"/>
        <v>4</v>
      </c>
      <c r="I283">
        <f t="shared" ca="1" si="64"/>
        <v>2</v>
      </c>
      <c r="J283">
        <f t="shared" ca="1" si="65"/>
        <v>1</v>
      </c>
      <c r="K283">
        <f t="shared" ca="1" si="66"/>
        <v>0</v>
      </c>
      <c r="L283">
        <f t="shared" ca="1" si="67"/>
        <v>0</v>
      </c>
      <c r="M283">
        <f t="shared" ca="1" si="68"/>
        <v>0</v>
      </c>
      <c r="N283" t="str">
        <f t="shared" ca="1" si="69"/>
        <v>Low</v>
      </c>
    </row>
    <row r="284" spans="1:14" x14ac:dyDescent="0.25">
      <c r="A284">
        <f t="shared" si="56"/>
        <v>283</v>
      </c>
      <c r="B284">
        <f t="shared" si="57"/>
        <v>1284</v>
      </c>
      <c r="C284" t="str">
        <f t="shared" ca="1" si="58"/>
        <v>V3</v>
      </c>
      <c r="D284">
        <f t="shared" ca="1" si="59"/>
        <v>30</v>
      </c>
      <c r="E284">
        <f t="shared" ca="1" si="60"/>
        <v>30</v>
      </c>
      <c r="F284">
        <f t="shared" ca="1" si="61"/>
        <v>1</v>
      </c>
      <c r="G284">
        <f t="shared" ca="1" si="62"/>
        <v>3.3333333333333333E-2</v>
      </c>
      <c r="H284">
        <f t="shared" ca="1" si="63"/>
        <v>4</v>
      </c>
      <c r="I284">
        <f t="shared" ca="1" si="64"/>
        <v>4</v>
      </c>
      <c r="J284">
        <f t="shared" ca="1" si="65"/>
        <v>1</v>
      </c>
      <c r="K284">
        <f t="shared" ca="1" si="66"/>
        <v>1</v>
      </c>
      <c r="L284">
        <f t="shared" ca="1" si="67"/>
        <v>0</v>
      </c>
      <c r="M284">
        <f t="shared" ca="1" si="68"/>
        <v>0</v>
      </c>
      <c r="N284" t="str">
        <f t="shared" ca="1" si="69"/>
        <v>Low</v>
      </c>
    </row>
    <row r="285" spans="1:14" x14ac:dyDescent="0.25">
      <c r="A285">
        <f t="shared" si="56"/>
        <v>284</v>
      </c>
      <c r="B285">
        <f t="shared" si="57"/>
        <v>1285</v>
      </c>
      <c r="C285" t="str">
        <f t="shared" ca="1" si="58"/>
        <v>V1</v>
      </c>
      <c r="D285">
        <f t="shared" ca="1" si="59"/>
        <v>60</v>
      </c>
      <c r="E285">
        <f t="shared" ca="1" si="60"/>
        <v>55</v>
      </c>
      <c r="F285">
        <f t="shared" ca="1" si="61"/>
        <v>4</v>
      </c>
      <c r="G285">
        <f t="shared" ca="1" si="62"/>
        <v>7.2727272727272724E-2</v>
      </c>
      <c r="H285">
        <f t="shared" ca="1" si="63"/>
        <v>5</v>
      </c>
      <c r="I285">
        <f t="shared" ca="1" si="64"/>
        <v>3</v>
      </c>
      <c r="J285">
        <f t="shared" ca="1" si="65"/>
        <v>0</v>
      </c>
      <c r="K285">
        <f t="shared" ca="1" si="66"/>
        <v>1</v>
      </c>
      <c r="L285">
        <f t="shared" ca="1" si="67"/>
        <v>0</v>
      </c>
      <c r="M285">
        <f t="shared" ca="1" si="68"/>
        <v>0</v>
      </c>
      <c r="N285" t="str">
        <f t="shared" ca="1" si="69"/>
        <v>Low</v>
      </c>
    </row>
    <row r="286" spans="1:14" x14ac:dyDescent="0.25">
      <c r="A286">
        <f t="shared" si="56"/>
        <v>285</v>
      </c>
      <c r="B286">
        <f t="shared" si="57"/>
        <v>1286</v>
      </c>
      <c r="C286" t="str">
        <f t="shared" ca="1" si="58"/>
        <v>V2</v>
      </c>
      <c r="D286">
        <f t="shared" ca="1" si="59"/>
        <v>60</v>
      </c>
      <c r="E286">
        <f t="shared" ca="1" si="60"/>
        <v>36</v>
      </c>
      <c r="F286">
        <f t="shared" ca="1" si="61"/>
        <v>8</v>
      </c>
      <c r="G286">
        <f t="shared" ca="1" si="62"/>
        <v>0.22222222222222221</v>
      </c>
      <c r="H286">
        <f t="shared" ca="1" si="63"/>
        <v>4</v>
      </c>
      <c r="I286">
        <f t="shared" ca="1" si="64"/>
        <v>0</v>
      </c>
      <c r="J286">
        <f t="shared" ca="1" si="65"/>
        <v>0</v>
      </c>
      <c r="K286">
        <f t="shared" ca="1" si="66"/>
        <v>0</v>
      </c>
      <c r="L286">
        <f t="shared" ca="1" si="67"/>
        <v>0</v>
      </c>
      <c r="M286">
        <f t="shared" ca="1" si="68"/>
        <v>1</v>
      </c>
      <c r="N286" t="str">
        <f t="shared" ca="1" si="69"/>
        <v>Medium</v>
      </c>
    </row>
    <row r="287" spans="1:14" x14ac:dyDescent="0.25">
      <c r="A287">
        <f t="shared" si="56"/>
        <v>286</v>
      </c>
      <c r="B287">
        <f t="shared" si="57"/>
        <v>1287</v>
      </c>
      <c r="C287" t="str">
        <f t="shared" ca="1" si="58"/>
        <v>V2</v>
      </c>
      <c r="D287">
        <f t="shared" ca="1" si="59"/>
        <v>60</v>
      </c>
      <c r="E287">
        <f t="shared" ca="1" si="60"/>
        <v>29</v>
      </c>
      <c r="F287">
        <f t="shared" ca="1" si="61"/>
        <v>2</v>
      </c>
      <c r="G287">
        <f t="shared" ca="1" si="62"/>
        <v>6.8965517241379309E-2</v>
      </c>
      <c r="H287">
        <f t="shared" ca="1" si="63"/>
        <v>3</v>
      </c>
      <c r="I287">
        <f t="shared" ca="1" si="64"/>
        <v>2</v>
      </c>
      <c r="J287">
        <f t="shared" ca="1" si="65"/>
        <v>0</v>
      </c>
      <c r="K287">
        <f t="shared" ca="1" si="66"/>
        <v>0</v>
      </c>
      <c r="L287">
        <f t="shared" ca="1" si="67"/>
        <v>0</v>
      </c>
      <c r="M287">
        <f t="shared" ca="1" si="68"/>
        <v>1</v>
      </c>
      <c r="N287" t="str">
        <f t="shared" ca="1" si="69"/>
        <v>Low</v>
      </c>
    </row>
    <row r="288" spans="1:14" x14ac:dyDescent="0.25">
      <c r="A288">
        <f t="shared" si="56"/>
        <v>287</v>
      </c>
      <c r="B288">
        <f t="shared" si="57"/>
        <v>1288</v>
      </c>
      <c r="C288" t="str">
        <f t="shared" ca="1" si="58"/>
        <v>V3</v>
      </c>
      <c r="D288">
        <f t="shared" ca="1" si="59"/>
        <v>60</v>
      </c>
      <c r="E288">
        <f t="shared" ca="1" si="60"/>
        <v>49</v>
      </c>
      <c r="F288">
        <f t="shared" ca="1" si="61"/>
        <v>7</v>
      </c>
      <c r="G288">
        <f t="shared" ca="1" si="62"/>
        <v>0.14285714285714285</v>
      </c>
      <c r="H288">
        <f t="shared" ca="1" si="63"/>
        <v>3</v>
      </c>
      <c r="I288">
        <f t="shared" ca="1" si="64"/>
        <v>4</v>
      </c>
      <c r="J288">
        <f t="shared" ca="1" si="65"/>
        <v>1</v>
      </c>
      <c r="K288">
        <f t="shared" ca="1" si="66"/>
        <v>0</v>
      </c>
      <c r="L288">
        <f t="shared" ca="1" si="67"/>
        <v>0</v>
      </c>
      <c r="M288">
        <f t="shared" ca="1" si="68"/>
        <v>0</v>
      </c>
      <c r="N288" t="str">
        <f t="shared" ca="1" si="69"/>
        <v>Low</v>
      </c>
    </row>
    <row r="289" spans="1:14" x14ac:dyDescent="0.25">
      <c r="A289">
        <f t="shared" si="56"/>
        <v>288</v>
      </c>
      <c r="B289">
        <f t="shared" si="57"/>
        <v>1289</v>
      </c>
      <c r="C289" t="str">
        <f t="shared" ca="1" si="58"/>
        <v>V3</v>
      </c>
      <c r="D289">
        <f t="shared" ca="1" si="59"/>
        <v>60</v>
      </c>
      <c r="E289">
        <f t="shared" ca="1" si="60"/>
        <v>53</v>
      </c>
      <c r="F289">
        <f t="shared" ca="1" si="61"/>
        <v>5</v>
      </c>
      <c r="G289">
        <f t="shared" ca="1" si="62"/>
        <v>9.4339622641509441E-2</v>
      </c>
      <c r="H289">
        <f t="shared" ca="1" si="63"/>
        <v>3</v>
      </c>
      <c r="I289">
        <f t="shared" ca="1" si="64"/>
        <v>0</v>
      </c>
      <c r="J289">
        <f t="shared" ca="1" si="65"/>
        <v>0</v>
      </c>
      <c r="K289">
        <f t="shared" ca="1" si="66"/>
        <v>0</v>
      </c>
      <c r="L289">
        <f t="shared" ca="1" si="67"/>
        <v>0</v>
      </c>
      <c r="M289">
        <f t="shared" ca="1" si="68"/>
        <v>0</v>
      </c>
      <c r="N289" t="str">
        <f t="shared" ca="1" si="69"/>
        <v>Low</v>
      </c>
    </row>
    <row r="290" spans="1:14" x14ac:dyDescent="0.25">
      <c r="A290">
        <f t="shared" si="56"/>
        <v>289</v>
      </c>
      <c r="B290">
        <f t="shared" si="57"/>
        <v>1290</v>
      </c>
      <c r="C290" t="str">
        <f t="shared" ca="1" si="58"/>
        <v>V3</v>
      </c>
      <c r="D290">
        <f t="shared" ca="1" si="59"/>
        <v>45</v>
      </c>
      <c r="E290">
        <f t="shared" ca="1" si="60"/>
        <v>25</v>
      </c>
      <c r="F290">
        <f t="shared" ca="1" si="61"/>
        <v>1</v>
      </c>
      <c r="G290">
        <f t="shared" ca="1" si="62"/>
        <v>0.04</v>
      </c>
      <c r="H290">
        <f t="shared" ca="1" si="63"/>
        <v>1</v>
      </c>
      <c r="I290">
        <f t="shared" ca="1" si="64"/>
        <v>3</v>
      </c>
      <c r="J290">
        <f t="shared" ca="1" si="65"/>
        <v>0</v>
      </c>
      <c r="K290">
        <f t="shared" ca="1" si="66"/>
        <v>0</v>
      </c>
      <c r="L290">
        <f t="shared" ca="1" si="67"/>
        <v>0</v>
      </c>
      <c r="M290">
        <f t="shared" ca="1" si="68"/>
        <v>0</v>
      </c>
      <c r="N290" t="str">
        <f t="shared" ca="1" si="69"/>
        <v>Low</v>
      </c>
    </row>
    <row r="291" spans="1:14" x14ac:dyDescent="0.25">
      <c r="A291">
        <f t="shared" si="56"/>
        <v>290</v>
      </c>
      <c r="B291">
        <f t="shared" si="57"/>
        <v>1291</v>
      </c>
      <c r="C291" t="str">
        <f t="shared" ca="1" si="58"/>
        <v>V2</v>
      </c>
      <c r="D291">
        <f t="shared" ca="1" si="59"/>
        <v>60</v>
      </c>
      <c r="E291">
        <f t="shared" ca="1" si="60"/>
        <v>48</v>
      </c>
      <c r="F291">
        <f t="shared" ca="1" si="61"/>
        <v>1</v>
      </c>
      <c r="G291">
        <f t="shared" ca="1" si="62"/>
        <v>2.0833333333333332E-2</v>
      </c>
      <c r="H291">
        <f t="shared" ca="1" si="63"/>
        <v>2</v>
      </c>
      <c r="I291">
        <f t="shared" ca="1" si="64"/>
        <v>2</v>
      </c>
      <c r="J291">
        <f t="shared" ca="1" si="65"/>
        <v>1</v>
      </c>
      <c r="K291">
        <f t="shared" ca="1" si="66"/>
        <v>0</v>
      </c>
      <c r="L291">
        <f t="shared" ca="1" si="67"/>
        <v>0</v>
      </c>
      <c r="M291">
        <f t="shared" ca="1" si="68"/>
        <v>1</v>
      </c>
      <c r="N291" t="str">
        <f t="shared" ca="1" si="69"/>
        <v>Low</v>
      </c>
    </row>
    <row r="292" spans="1:14" x14ac:dyDescent="0.25">
      <c r="A292">
        <f t="shared" si="56"/>
        <v>291</v>
      </c>
      <c r="B292">
        <f t="shared" si="57"/>
        <v>1292</v>
      </c>
      <c r="C292" t="str">
        <f t="shared" ca="1" si="58"/>
        <v>V2</v>
      </c>
      <c r="D292">
        <f t="shared" ca="1" si="59"/>
        <v>45</v>
      </c>
      <c r="E292">
        <f t="shared" ca="1" si="60"/>
        <v>35</v>
      </c>
      <c r="F292">
        <f t="shared" ca="1" si="61"/>
        <v>4</v>
      </c>
      <c r="G292">
        <f t="shared" ca="1" si="62"/>
        <v>0.11428571428571428</v>
      </c>
      <c r="H292">
        <f t="shared" ca="1" si="63"/>
        <v>0</v>
      </c>
      <c r="I292">
        <f t="shared" ca="1" si="64"/>
        <v>0</v>
      </c>
      <c r="J292">
        <f t="shared" ca="1" si="65"/>
        <v>0</v>
      </c>
      <c r="K292">
        <f t="shared" ca="1" si="66"/>
        <v>0</v>
      </c>
      <c r="L292">
        <f t="shared" ca="1" si="67"/>
        <v>0</v>
      </c>
      <c r="M292">
        <f t="shared" ca="1" si="68"/>
        <v>1</v>
      </c>
      <c r="N292" t="str">
        <f t="shared" ca="1" si="69"/>
        <v>Low</v>
      </c>
    </row>
    <row r="293" spans="1:14" x14ac:dyDescent="0.25">
      <c r="A293">
        <f t="shared" si="56"/>
        <v>292</v>
      </c>
      <c r="B293">
        <f t="shared" si="57"/>
        <v>1293</v>
      </c>
      <c r="C293" t="str">
        <f t="shared" ca="1" si="58"/>
        <v>V1</v>
      </c>
      <c r="D293">
        <f t="shared" ca="1" si="59"/>
        <v>30</v>
      </c>
      <c r="E293">
        <f t="shared" ca="1" si="60"/>
        <v>20</v>
      </c>
      <c r="F293">
        <f t="shared" ca="1" si="61"/>
        <v>5</v>
      </c>
      <c r="G293">
        <f t="shared" ca="1" si="62"/>
        <v>0.25</v>
      </c>
      <c r="H293">
        <f t="shared" ca="1" si="63"/>
        <v>0</v>
      </c>
      <c r="I293">
        <f t="shared" ca="1" si="64"/>
        <v>1</v>
      </c>
      <c r="J293">
        <f t="shared" ca="1" si="65"/>
        <v>0</v>
      </c>
      <c r="K293">
        <f t="shared" ca="1" si="66"/>
        <v>0</v>
      </c>
      <c r="L293">
        <f t="shared" ca="1" si="67"/>
        <v>0</v>
      </c>
      <c r="M293">
        <f t="shared" ca="1" si="68"/>
        <v>1</v>
      </c>
      <c r="N293" t="str">
        <f t="shared" ca="1" si="69"/>
        <v>Medium</v>
      </c>
    </row>
    <row r="294" spans="1:14" x14ac:dyDescent="0.25">
      <c r="A294">
        <f t="shared" si="56"/>
        <v>293</v>
      </c>
      <c r="B294">
        <f t="shared" si="57"/>
        <v>1294</v>
      </c>
      <c r="C294" t="str">
        <f t="shared" ca="1" si="58"/>
        <v>V1</v>
      </c>
      <c r="D294">
        <f t="shared" ca="1" si="59"/>
        <v>45</v>
      </c>
      <c r="E294">
        <f t="shared" ca="1" si="60"/>
        <v>43</v>
      </c>
      <c r="F294">
        <f t="shared" ca="1" si="61"/>
        <v>2</v>
      </c>
      <c r="G294">
        <f t="shared" ca="1" si="62"/>
        <v>4.6511627906976744E-2</v>
      </c>
      <c r="H294">
        <f t="shared" ca="1" si="63"/>
        <v>2</v>
      </c>
      <c r="I294">
        <f t="shared" ca="1" si="64"/>
        <v>2</v>
      </c>
      <c r="J294">
        <f t="shared" ca="1" si="65"/>
        <v>1</v>
      </c>
      <c r="K294">
        <f t="shared" ca="1" si="66"/>
        <v>1</v>
      </c>
      <c r="L294">
        <f t="shared" ca="1" si="67"/>
        <v>0</v>
      </c>
      <c r="M294">
        <f t="shared" ca="1" si="68"/>
        <v>0</v>
      </c>
      <c r="N294" t="str">
        <f t="shared" ca="1" si="69"/>
        <v>Low</v>
      </c>
    </row>
    <row r="295" spans="1:14" x14ac:dyDescent="0.25">
      <c r="A295">
        <f t="shared" si="56"/>
        <v>294</v>
      </c>
      <c r="B295">
        <f t="shared" si="57"/>
        <v>1295</v>
      </c>
      <c r="C295" t="str">
        <f t="shared" ca="1" si="58"/>
        <v>V1</v>
      </c>
      <c r="D295">
        <f t="shared" ca="1" si="59"/>
        <v>60</v>
      </c>
      <c r="E295">
        <f t="shared" ca="1" si="60"/>
        <v>33</v>
      </c>
      <c r="F295">
        <f t="shared" ca="1" si="61"/>
        <v>7</v>
      </c>
      <c r="G295">
        <f t="shared" ca="1" si="62"/>
        <v>0.21212121212121213</v>
      </c>
      <c r="H295">
        <f t="shared" ca="1" si="63"/>
        <v>0</v>
      </c>
      <c r="I295">
        <f t="shared" ca="1" si="64"/>
        <v>4</v>
      </c>
      <c r="J295">
        <f t="shared" ca="1" si="65"/>
        <v>1</v>
      </c>
      <c r="K295">
        <f t="shared" ca="1" si="66"/>
        <v>0</v>
      </c>
      <c r="L295">
        <f t="shared" ca="1" si="67"/>
        <v>0</v>
      </c>
      <c r="M295">
        <f t="shared" ca="1" si="68"/>
        <v>1</v>
      </c>
      <c r="N295" t="str">
        <f t="shared" ca="1" si="69"/>
        <v>Medium</v>
      </c>
    </row>
    <row r="296" spans="1:14" x14ac:dyDescent="0.25">
      <c r="A296">
        <f t="shared" si="56"/>
        <v>295</v>
      </c>
      <c r="B296">
        <f t="shared" si="57"/>
        <v>1296</v>
      </c>
      <c r="C296" t="str">
        <f t="shared" ca="1" si="58"/>
        <v>V1</v>
      </c>
      <c r="D296">
        <f t="shared" ca="1" si="59"/>
        <v>60</v>
      </c>
      <c r="E296">
        <f t="shared" ca="1" si="60"/>
        <v>40</v>
      </c>
      <c r="F296">
        <f t="shared" ca="1" si="61"/>
        <v>6</v>
      </c>
      <c r="G296">
        <f t="shared" ca="1" si="62"/>
        <v>0.15</v>
      </c>
      <c r="H296">
        <f t="shared" ca="1" si="63"/>
        <v>6</v>
      </c>
      <c r="I296">
        <f t="shared" ca="1" si="64"/>
        <v>3</v>
      </c>
      <c r="J296">
        <f t="shared" ca="1" si="65"/>
        <v>1</v>
      </c>
      <c r="K296">
        <f t="shared" ca="1" si="66"/>
        <v>0</v>
      </c>
      <c r="L296">
        <f t="shared" ca="1" si="67"/>
        <v>0</v>
      </c>
      <c r="M296">
        <f t="shared" ca="1" si="68"/>
        <v>0</v>
      </c>
      <c r="N296" t="str">
        <f t="shared" ca="1" si="69"/>
        <v>Low</v>
      </c>
    </row>
    <row r="297" spans="1:14" x14ac:dyDescent="0.25">
      <c r="A297">
        <f t="shared" si="56"/>
        <v>296</v>
      </c>
      <c r="B297">
        <f t="shared" si="57"/>
        <v>1297</v>
      </c>
      <c r="C297" t="str">
        <f t="shared" ca="1" si="58"/>
        <v>V3</v>
      </c>
      <c r="D297">
        <f t="shared" ca="1" si="59"/>
        <v>30</v>
      </c>
      <c r="E297">
        <f t="shared" ca="1" si="60"/>
        <v>13</v>
      </c>
      <c r="F297">
        <f t="shared" ca="1" si="61"/>
        <v>5</v>
      </c>
      <c r="G297">
        <f t="shared" ca="1" si="62"/>
        <v>0.38461538461538464</v>
      </c>
      <c r="H297">
        <f t="shared" ca="1" si="63"/>
        <v>0</v>
      </c>
      <c r="I297">
        <f t="shared" ca="1" si="64"/>
        <v>4</v>
      </c>
      <c r="J297">
        <f t="shared" ca="1" si="65"/>
        <v>1</v>
      </c>
      <c r="K297">
        <f t="shared" ca="1" si="66"/>
        <v>0</v>
      </c>
      <c r="L297">
        <f t="shared" ca="1" si="67"/>
        <v>0</v>
      </c>
      <c r="M297">
        <f t="shared" ca="1" si="68"/>
        <v>1</v>
      </c>
      <c r="N297" t="str">
        <f t="shared" ca="1" si="69"/>
        <v>Medium</v>
      </c>
    </row>
    <row r="298" spans="1:14" x14ac:dyDescent="0.25">
      <c r="A298">
        <f t="shared" si="56"/>
        <v>297</v>
      </c>
      <c r="B298">
        <f t="shared" si="57"/>
        <v>1298</v>
      </c>
      <c r="C298" t="str">
        <f t="shared" ca="1" si="58"/>
        <v>V2</v>
      </c>
      <c r="D298">
        <f t="shared" ca="1" si="59"/>
        <v>60</v>
      </c>
      <c r="E298">
        <f t="shared" ca="1" si="60"/>
        <v>55</v>
      </c>
      <c r="F298">
        <f t="shared" ca="1" si="61"/>
        <v>3</v>
      </c>
      <c r="G298">
        <f t="shared" ca="1" si="62"/>
        <v>5.4545454545454543E-2</v>
      </c>
      <c r="H298">
        <f t="shared" ca="1" si="63"/>
        <v>6</v>
      </c>
      <c r="I298">
        <f t="shared" ca="1" si="64"/>
        <v>4</v>
      </c>
      <c r="J298">
        <f t="shared" ca="1" si="65"/>
        <v>1</v>
      </c>
      <c r="K298">
        <f t="shared" ca="1" si="66"/>
        <v>1</v>
      </c>
      <c r="L298">
        <f t="shared" ca="1" si="67"/>
        <v>0</v>
      </c>
      <c r="M298">
        <f t="shared" ca="1" si="68"/>
        <v>0</v>
      </c>
      <c r="N298" t="str">
        <f t="shared" ca="1" si="69"/>
        <v>Low</v>
      </c>
    </row>
    <row r="299" spans="1:14" x14ac:dyDescent="0.25">
      <c r="A299">
        <f t="shared" si="56"/>
        <v>298</v>
      </c>
      <c r="B299">
        <f t="shared" si="57"/>
        <v>1299</v>
      </c>
      <c r="C299" t="str">
        <f t="shared" ca="1" si="58"/>
        <v>V1</v>
      </c>
      <c r="D299">
        <f t="shared" ca="1" si="59"/>
        <v>30</v>
      </c>
      <c r="E299">
        <f t="shared" ca="1" si="60"/>
        <v>23</v>
      </c>
      <c r="F299">
        <f t="shared" ca="1" si="61"/>
        <v>8</v>
      </c>
      <c r="G299">
        <f t="shared" ca="1" si="62"/>
        <v>0.34782608695652173</v>
      </c>
      <c r="H299">
        <f t="shared" ca="1" si="63"/>
        <v>3</v>
      </c>
      <c r="I299">
        <f t="shared" ca="1" si="64"/>
        <v>3</v>
      </c>
      <c r="J299">
        <f t="shared" ca="1" si="65"/>
        <v>0</v>
      </c>
      <c r="K299">
        <f t="shared" ca="1" si="66"/>
        <v>0</v>
      </c>
      <c r="L299">
        <f t="shared" ca="1" si="67"/>
        <v>1</v>
      </c>
      <c r="M299">
        <f t="shared" ca="1" si="68"/>
        <v>0</v>
      </c>
      <c r="N299" t="str">
        <f t="shared" ca="1" si="69"/>
        <v>Medium</v>
      </c>
    </row>
    <row r="300" spans="1:14" x14ac:dyDescent="0.25">
      <c r="A300">
        <f t="shared" si="56"/>
        <v>299</v>
      </c>
      <c r="B300">
        <f t="shared" si="57"/>
        <v>1300</v>
      </c>
      <c r="C300" t="str">
        <f t="shared" ca="1" si="58"/>
        <v>V1</v>
      </c>
      <c r="D300">
        <f t="shared" ca="1" si="59"/>
        <v>45</v>
      </c>
      <c r="E300">
        <f t="shared" ca="1" si="60"/>
        <v>33</v>
      </c>
      <c r="F300">
        <f t="shared" ca="1" si="61"/>
        <v>7</v>
      </c>
      <c r="G300">
        <f t="shared" ca="1" si="62"/>
        <v>0.21212121212121213</v>
      </c>
      <c r="H300">
        <f t="shared" ca="1" si="63"/>
        <v>4</v>
      </c>
      <c r="I300">
        <f t="shared" ca="1" si="64"/>
        <v>3</v>
      </c>
      <c r="J300">
        <f t="shared" ca="1" si="65"/>
        <v>0</v>
      </c>
      <c r="K300">
        <f t="shared" ca="1" si="66"/>
        <v>0</v>
      </c>
      <c r="L300">
        <f t="shared" ca="1" si="67"/>
        <v>0</v>
      </c>
      <c r="M300">
        <f t="shared" ca="1" si="68"/>
        <v>1</v>
      </c>
      <c r="N300" t="str">
        <f t="shared" ca="1" si="69"/>
        <v>Medium</v>
      </c>
    </row>
  </sheetData>
  <pageMargins left="0.7" right="0.7" top="0.75" bottom="0.75" header="0.3" footer="0.3"/>
  <pageSetup orientation="portrait" horizontalDpi="1200" verticalDpi="1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raw_data</vt:lpstr>
      <vt:lpstr>pivot</vt:lpstr>
      <vt:lpstr>dashboard</vt:lpstr>
      <vt:lpstr>analysis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Nikhil</dc:creator>
  <cp:lastModifiedBy>Nikhil</cp:lastModifiedBy>
  <dcterms:created xsi:type="dcterms:W3CDTF">2026-03-30T13:25:41Z</dcterms:created>
  <dcterms:modified xsi:type="dcterms:W3CDTF">2026-03-30T20:01:13Z</dcterms:modified>
</cp:coreProperties>
</file>